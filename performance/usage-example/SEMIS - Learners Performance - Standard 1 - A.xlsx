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ation" state="veryHidden" r:id="rId4"/>
    <sheet sheetId="2" name="performance" state="visible" r:id="rId5"/>
    <sheet sheetId="3" name="Metadata" state="visible" r:id="rId6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I2" authorId="0">
      <text>
        <r>
          <t>Filled in automatically from the score. Do not edit.</t>
        </r>
      </text>
    </comment>
    <comment ref="K2" authorId="0">
      <text>
        <r>
          <t>Filled in automatically from the score. Do not edit.</t>
        </r>
      </text>
    </comment>
    <comment ref="M2" authorId="0">
      <text>
        <r>
          <t>Filled in automatically from the score. Do not edit.</t>
        </r>
      </text>
    </comment>
    <comment ref="O2" authorId="0">
      <text>
        <r>
          <t>Filled in automatically from the score. Do not edit.</t>
        </r>
      </text>
    </comment>
    <comment ref="Q2" authorId="0">
      <text>
        <r>
          <t>Filled in automatically from the score. Do not edit.</t>
        </r>
      </text>
    </comment>
    <comment ref="R2" authorId="0">
      <text>
        <r>
          <t>Filled in automatically from the score. Do not edit.</t>
        </r>
      </text>
    </comment>
    <comment ref="T2" authorId="0">
      <text>
        <r>
          <t>Filled in automatically from the score. Do not edit.</t>
        </r>
      </text>
    </comment>
    <comment ref="V2" authorId="0">
      <text>
        <r>
          <t>Filled in automatically from the score. Do not edit.</t>
        </r>
      </text>
    </comment>
    <comment ref="X2" authorId="0">
      <text>
        <r>
          <t>Filled in automatically from the score. Do not edit.</t>
        </r>
      </text>
    </comment>
    <comment ref="Z2" authorId="0">
      <text>
        <r>
          <t>Filled in automatically from the score. Do not edit.</t>
        </r>
      </text>
    </comment>
    <comment ref="AB2" authorId="0">
      <text>
        <r>
          <t>Filled in automatically from the score. Do not edit.</t>
        </r>
      </text>
    </comment>
    <comment ref="AC2" authorId="0">
      <text>
        <r>
          <t>Filled in automatically from the score. Do not edit.</t>
        </r>
      </text>
    </comment>
    <comment ref="AE2" authorId="0">
      <text>
        <r>
          <t>Filled in automatically from the score. Do not edit.</t>
        </r>
      </text>
    </comment>
    <comment ref="AG2" authorId="0">
      <text>
        <r>
          <t>Filled in automatically from the score. Do not edit.</t>
        </r>
      </text>
    </comment>
    <comment ref="AI2" authorId="0">
      <text>
        <r>
          <t>Filled in automatically from the score. Do not edit.</t>
        </r>
      </text>
    </comment>
    <comment ref="AK2" authorId="0">
      <text>
        <r>
          <t>Filled in automatically from the score. Do not edit.</t>
        </r>
      </text>
    </comment>
    <comment ref="AM2" authorId="0">
      <text>
        <r>
          <t>Filled in automatically from the score. Do not edit.</t>
        </r>
      </text>
    </comment>
    <comment ref="AN2" authorId="0">
      <text>
        <r>
          <t>Filled in automatically from the score. Do not edit.</t>
        </r>
      </text>
    </comment>
  </commentList>
</comments>
</file>

<file path=xl/sharedStrings.xml><?xml version="1.0" encoding="utf-8"?>
<sst xmlns="http://schemas.openxmlformats.org/spreadsheetml/2006/main" count="616" uniqueCount="285">
  <si>
    <t>kNNoif9gASf</t>
  </si>
  <si>
    <t>RhABRLO2Fae</t>
  </si>
  <si>
    <t>X0vzx18XWqu</t>
  </si>
  <si>
    <t>Standard 1</t>
  </si>
  <si>
    <t>Not defined</t>
  </si>
  <si>
    <t>female</t>
  </si>
  <si>
    <t>Standard 2</t>
  </si>
  <si>
    <t>A</t>
  </si>
  <si>
    <t>male</t>
  </si>
  <si>
    <t>Standard 3</t>
  </si>
  <si>
    <t>B</t>
  </si>
  <si>
    <t>Standard 4</t>
  </si>
  <si>
    <t>C</t>
  </si>
  <si>
    <t>Standard 5</t>
  </si>
  <si>
    <t>D</t>
  </si>
  <si>
    <t>Standard 6</t>
  </si>
  <si>
    <t>E</t>
  </si>
  <si>
    <t>Standard 7</t>
  </si>
  <si>
    <t>F</t>
  </si>
  <si>
    <t>Standard 8</t>
  </si>
  <si>
    <t>Enrollment details</t>
  </si>
  <si>
    <t>Student profile</t>
  </si>
  <si>
    <t>Term 1</t>
  </si>
  <si>
    <t>Term 2</t>
  </si>
  <si>
    <t>Term 3</t>
  </si>
  <si>
    <t>Ids</t>
  </si>
  <si>
    <t>Ref</t>
  </si>
  <si>
    <t>Grade</t>
  </si>
  <si>
    <t>Stream</t>
  </si>
  <si>
    <t>LIN</t>
  </si>
  <si>
    <t>First name</t>
  </si>
  <si>
    <t>Surname</t>
  </si>
  <si>
    <t>Gender</t>
  </si>
  <si>
    <t>Mathematics</t>
  </si>
  <si>
    <t>Subject Grade - Mathematics</t>
  </si>
  <si>
    <t>Bible Knowledge</t>
  </si>
  <si>
    <t>Subject Grade - Bible Knowledge</t>
  </si>
  <si>
    <t>Chichewa</t>
  </si>
  <si>
    <t>Subject Grade - Chichewa</t>
  </si>
  <si>
    <t>English</t>
  </si>
  <si>
    <t>Subject Grade - English</t>
  </si>
  <si>
    <t>Expressive Arts</t>
  </si>
  <si>
    <t>Subject Grade - Expressive Arts</t>
  </si>
  <si>
    <t>Term Remarks</t>
  </si>
  <si>
    <t>Enrollment</t>
  </si>
  <si>
    <t>Tracked Entity Id</t>
  </si>
  <si>
    <t>School UID</t>
  </si>
  <si>
    <t>ref</t>
  </si>
  <si>
    <t>Ni2qsy2WJn4.kNNoif9gASf</t>
  </si>
  <si>
    <t>Ni2qsy2WJn4.RhABRLO2Fae</t>
  </si>
  <si>
    <t>IemwobHLkQv</t>
  </si>
  <si>
    <t>gz8w04YBSS0</t>
  </si>
  <si>
    <t>ZIDlK6BaAU2</t>
  </si>
  <si>
    <t>mBEhR2M4DRQ.qPwGZal50yH</t>
  </si>
  <si>
    <t>mBEhR2M4DRQ.oS5bHWODGyg</t>
  </si>
  <si>
    <t>mBEhR2M4DRQ.c5vqBiyz8ce</t>
  </si>
  <si>
    <t>mBEhR2M4DRQ.TeMMZcb3Vz6</t>
  </si>
  <si>
    <t>mBEhR2M4DRQ.cDodCoQZG6E</t>
  </si>
  <si>
    <t>mBEhR2M4DRQ.cir6dkttiYm</t>
  </si>
  <si>
    <t>mBEhR2M4DRQ.nnw0RNh382Y</t>
  </si>
  <si>
    <t>mBEhR2M4DRQ.iQDAkGbbqkZ</t>
  </si>
  <si>
    <t>mBEhR2M4DRQ.ET0hku2HJ6z</t>
  </si>
  <si>
    <t>mBEhR2M4DRQ.zswZCeCMvub</t>
  </si>
  <si>
    <t>mBEhR2M4DRQ.ET5SVINRPRX</t>
  </si>
  <si>
    <t>aDmsN3qemOA.qPwGZal50yH</t>
  </si>
  <si>
    <t>aDmsN3qemOA.oS5bHWODGyg</t>
  </si>
  <si>
    <t>aDmsN3qemOA.c5vqBiyz8ce</t>
  </si>
  <si>
    <t>aDmsN3qemOA.TeMMZcb3Vz6</t>
  </si>
  <si>
    <t>aDmsN3qemOA.cDodCoQZG6E</t>
  </si>
  <si>
    <t>aDmsN3qemOA.cir6dkttiYm</t>
  </si>
  <si>
    <t>aDmsN3qemOA.nnw0RNh382Y</t>
  </si>
  <si>
    <t>aDmsN3qemOA.iQDAkGbbqkZ</t>
  </si>
  <si>
    <t>aDmsN3qemOA.ET0hku2HJ6z</t>
  </si>
  <si>
    <t>aDmsN3qemOA.zswZCeCMvub</t>
  </si>
  <si>
    <t>aDmsN3qemOA.ET5SVINRPRX</t>
  </si>
  <si>
    <t>rZGdcch2PCh.qPwGZal50yH</t>
  </si>
  <si>
    <t>rZGdcch2PCh.oS5bHWODGyg</t>
  </si>
  <si>
    <t>rZGdcch2PCh.c5vqBiyz8ce</t>
  </si>
  <si>
    <t>rZGdcch2PCh.TeMMZcb3Vz6</t>
  </si>
  <si>
    <t>rZGdcch2PCh.nnw0RNh382Y</t>
  </si>
  <si>
    <t>rZGdcch2PCh.iQDAkGbbqkZ</t>
  </si>
  <si>
    <t>rZGdcch2PCh.ET0hku2HJ6z</t>
  </si>
  <si>
    <t>rZGdcch2PCh.zswZCeCMvub</t>
  </si>
  <si>
    <t>rZGdcch2PCh.cDodCoQZG6E</t>
  </si>
  <si>
    <t>rZGdcch2PCh.cir6dkttiYm</t>
  </si>
  <si>
    <t>rZGdcch2PCh.ET5SVINRPRX</t>
  </si>
  <si>
    <t>enrollment</t>
  </si>
  <si>
    <t>trackedEntity</t>
  </si>
  <si>
    <t>orgUnit</t>
  </si>
  <si>
    <t xml:space="preserve">1 </t>
  </si>
  <si>
    <t>20195001930004</t>
  </si>
  <si>
    <t>Memory</t>
  </si>
  <si>
    <t>Ngwira</t>
  </si>
  <si>
    <t>wYS2qPATEP5</t>
  </si>
  <si>
    <t>pTuvwrWHeGc</t>
  </si>
  <si>
    <t>p9O830O02UX</t>
  </si>
  <si>
    <t xml:space="preserve">2 </t>
  </si>
  <si>
    <t>20195001930017</t>
  </si>
  <si>
    <t>Joyce</t>
  </si>
  <si>
    <t>Mwale</t>
  </si>
  <si>
    <t>BUrx1FvK0f5</t>
  </si>
  <si>
    <t>qban9IeOanP</t>
  </si>
  <si>
    <t xml:space="preserve">3 </t>
  </si>
  <si>
    <t>20195001930020</t>
  </si>
  <si>
    <t>Victor</t>
  </si>
  <si>
    <t>Mvula</t>
  </si>
  <si>
    <t>KxV08BUTCVc</t>
  </si>
  <si>
    <t>ID0izpOLkDr</t>
  </si>
  <si>
    <t xml:space="preserve">4 </t>
  </si>
  <si>
    <t>20195001930022</t>
  </si>
  <si>
    <t>Temwani</t>
  </si>
  <si>
    <t>Lungu</t>
  </si>
  <si>
    <t>vo8uReEsAYI</t>
  </si>
  <si>
    <t>izRaxXxwv9P</t>
  </si>
  <si>
    <t xml:space="preserve">5 </t>
  </si>
  <si>
    <t>20195001930029</t>
  </si>
  <si>
    <t>Towera</t>
  </si>
  <si>
    <t>Mbewe</t>
  </si>
  <si>
    <t>PivxSmWQXgx</t>
  </si>
  <si>
    <t>a9g1WKX4xyY</t>
  </si>
  <si>
    <t xml:space="preserve">6 </t>
  </si>
  <si>
    <t>20195001930034</t>
  </si>
  <si>
    <t>Mavuto</t>
  </si>
  <si>
    <t>Chilembwe</t>
  </si>
  <si>
    <t>ZQ1L4PykrrX</t>
  </si>
  <si>
    <t>G9g3HXOKmYn</t>
  </si>
  <si>
    <t xml:space="preserve">7 </t>
  </si>
  <si>
    <t>20195001930036</t>
  </si>
  <si>
    <t>Daka</t>
  </si>
  <si>
    <t>g3wLAB1Pu3W</t>
  </si>
  <si>
    <t>UpSaBvLN1qU</t>
  </si>
  <si>
    <t xml:space="preserve">8 </t>
  </si>
  <si>
    <t>20195001930039</t>
  </si>
  <si>
    <t>Samuel</t>
  </si>
  <si>
    <t>Saka</t>
  </si>
  <si>
    <t>ZJnremzsaXA</t>
  </si>
  <si>
    <t>MaHDzWEEIty</t>
  </si>
  <si>
    <t xml:space="preserve">9 </t>
  </si>
  <si>
    <t>20195001930044</t>
  </si>
  <si>
    <t>Emmanuel</t>
  </si>
  <si>
    <t>kaQhqDCtz4K</t>
  </si>
  <si>
    <t>FyWM3yLLUg6</t>
  </si>
  <si>
    <t xml:space="preserve">10 </t>
  </si>
  <si>
    <t>20195001930051</t>
  </si>
  <si>
    <t>Faith</t>
  </si>
  <si>
    <t>Kachingwe</t>
  </si>
  <si>
    <t>tO7CIfeOlyU</t>
  </si>
  <si>
    <t>Kq5zYKdJWn5</t>
  </si>
  <si>
    <t xml:space="preserve">11 </t>
  </si>
  <si>
    <t>20195001930054</t>
  </si>
  <si>
    <t>Makwinja</t>
  </si>
  <si>
    <t>pJGCC4YQ7Do</t>
  </si>
  <si>
    <t>OAPXSrMtVMo</t>
  </si>
  <si>
    <t xml:space="preserve">12 </t>
  </si>
  <si>
    <t>20195001930056</t>
  </si>
  <si>
    <t>Mariam</t>
  </si>
  <si>
    <t>Jafali</t>
  </si>
  <si>
    <t>IYUozGdL4dD</t>
  </si>
  <si>
    <t>zLrFXq3ETTE</t>
  </si>
  <si>
    <t xml:space="preserve">13 </t>
  </si>
  <si>
    <t>20195001930065</t>
  </si>
  <si>
    <t>Luka</t>
  </si>
  <si>
    <t>Chinyama</t>
  </si>
  <si>
    <t>Ixv40GAnvTp</t>
  </si>
  <si>
    <t>fSwro3G6IsH</t>
  </si>
  <si>
    <t xml:space="preserve">14 </t>
  </si>
  <si>
    <t>20195001930067</t>
  </si>
  <si>
    <t>Joseph</t>
  </si>
  <si>
    <t>Chirwa</t>
  </si>
  <si>
    <t>HBxBGgH5rSG</t>
  </si>
  <si>
    <t>raRMzwQ214f</t>
  </si>
  <si>
    <t xml:space="preserve">15 </t>
  </si>
  <si>
    <t>20195001930075</t>
  </si>
  <si>
    <t>Maness</t>
  </si>
  <si>
    <t>Nyirenda</t>
  </si>
  <si>
    <t>hncgSV4neJX</t>
  </si>
  <si>
    <t>iYg0QggNSM4</t>
  </si>
  <si>
    <t xml:space="preserve">16 </t>
  </si>
  <si>
    <t>20195001930078</t>
  </si>
  <si>
    <t>John</t>
  </si>
  <si>
    <t>t1evRE0NU0o</t>
  </si>
  <si>
    <t>yF5XYXYT4MO</t>
  </si>
  <si>
    <t xml:space="preserve">17 </t>
  </si>
  <si>
    <t>20195001930082</t>
  </si>
  <si>
    <t>Austin</t>
  </si>
  <si>
    <t>Banda</t>
  </si>
  <si>
    <t>mDM7j2WE94T</t>
  </si>
  <si>
    <t>gSAFep4Wytr</t>
  </si>
  <si>
    <t xml:space="preserve">18 </t>
  </si>
  <si>
    <t>20195001930084</t>
  </si>
  <si>
    <t>Innocent</t>
  </si>
  <si>
    <t>Chikopa</t>
  </si>
  <si>
    <t>JdLPFsRDAIX</t>
  </si>
  <si>
    <t>emrc3vhQP4S</t>
  </si>
  <si>
    <t xml:space="preserve">19 </t>
  </si>
  <si>
    <t>20195001930098</t>
  </si>
  <si>
    <t>UR4G8oIiocb</t>
  </si>
  <si>
    <t>LEFoa1ZKUv8</t>
  </si>
  <si>
    <t xml:space="preserve">20 </t>
  </si>
  <si>
    <t>20195001930100</t>
  </si>
  <si>
    <t>Tamanda</t>
  </si>
  <si>
    <t>EKfoxrxJHRl</t>
  </si>
  <si>
    <t>hX7HShvdQAt</t>
  </si>
  <si>
    <t xml:space="preserve">21 </t>
  </si>
  <si>
    <t>20195002010201</t>
  </si>
  <si>
    <t>Takondwa</t>
  </si>
  <si>
    <t>Phiri</t>
  </si>
  <si>
    <t>ByvlwkoKpBn</t>
  </si>
  <si>
    <t>Es4tHKrNQhi</t>
  </si>
  <si>
    <t>programid</t>
  </si>
  <si>
    <t>programName</t>
  </si>
  <si>
    <t/>
  </si>
  <si>
    <t>id</t>
  </si>
  <si>
    <t>name</t>
  </si>
  <si>
    <t>valueType</t>
  </si>
  <si>
    <t>options</t>
  </si>
  <si>
    <t>wQaiD2V27Dp</t>
  </si>
  <si>
    <t>Student</t>
  </si>
  <si>
    <t>TEXT</t>
  </si>
  <si>
    <t>orgUnitName</t>
  </si>
  <si>
    <t>School</t>
  </si>
  <si>
    <t>Female | Male</t>
  </si>
  <si>
    <t>EPYqXuM0M2u</t>
  </si>
  <si>
    <t>Date of birth</t>
  </si>
  <si>
    <t>DATE</t>
  </si>
  <si>
    <t>Lp0QRmAN8vb</t>
  </si>
  <si>
    <t>Admission Date</t>
  </si>
  <si>
    <t>wGiRDfHT0hj</t>
  </si>
  <si>
    <t>Nationality</t>
  </si>
  <si>
    <t>Malawi | Mozambique | Tanzania | Zambia | Other</t>
  </si>
  <si>
    <t>SwfMi3g9k4s</t>
  </si>
  <si>
    <t>Village</t>
  </si>
  <si>
    <t>d2SES7i0fzb</t>
  </si>
  <si>
    <t>Guardian's Name</t>
  </si>
  <si>
    <t>qpczmGlBWuY</t>
  </si>
  <si>
    <t>Guardian's Occupation</t>
  </si>
  <si>
    <t>tWYfZZjmYgm</t>
  </si>
  <si>
    <t>Guardian's Contact and Email</t>
  </si>
  <si>
    <t>GWdRrHyvUsS</t>
  </si>
  <si>
    <t>District of Origin</t>
  </si>
  <si>
    <t>Chitipa | Karonga | Likoma | Mzimba | Nkhata Bay | Rumphi | Dedza | Dowa | Kasungu | Lilongwe | Mchinji | Nkhotakota | Ntcheu | Ntchisi | Salima | Balaka | Blantyre | Chikwawa | Chiradzulu | Machinga | Mangochi | Mulanje | Mwanza | Neno | Nsanje | Phalombe | Thyolo | Zomba</t>
  </si>
  <si>
    <t>V5KXlh35wCu</t>
  </si>
  <si>
    <t>Religous Denomination</t>
  </si>
  <si>
    <t>Church of Central Africa Presbyterian (CCAP) | Islam | Anglican Church | Seventh-day Adventist Church | Assemblies of God Malawi | Roman Catholic Church | Other</t>
  </si>
  <si>
    <t>uDJuod8xh6X</t>
  </si>
  <si>
    <t>Is the student an orphan? If yes, please indicate the type of orphanhood.</t>
  </si>
  <si>
    <t>No | Maternal | Paternal | Double</t>
  </si>
  <si>
    <t>gH8lPiFXrgu</t>
  </si>
  <si>
    <t>Does the student have any disability? If yes, specify the type of disability.</t>
  </si>
  <si>
    <t>MULTI_TEXT</t>
  </si>
  <si>
    <t>No | Hearing impairment | Visual impairement | Learning difficulties | Physical Disabilities | Speech and Communication Disorders | Chronic Health Conditions</t>
  </si>
  <si>
    <t>ceSZnM8xaqc</t>
  </si>
  <si>
    <t>Attended ECD?</t>
  </si>
  <si>
    <t>BOOLEAN</t>
  </si>
  <si>
    <t>DTL4KPBZHGu</t>
  </si>
  <si>
    <t>CIN</t>
  </si>
  <si>
    <t>PxfCzuwfrUO</t>
  </si>
  <si>
    <t>Admission academic year</t>
  </si>
  <si>
    <t>2025-2026 | 2024-2025 | 2023-2024 | 2022-2023 | 2021-2022 | 2020-2021 | 2019-2020 | 2018-2019 | 2017-2018 | 2016-2017 | 2015-2016 | 2014-2015 | 2013-2014 | 2012-2013 | 2011-2012 | 2010-2011 | 2009-2010 | 2008-2009 | 2007-2008 | 2006-2007 | 2005-2006 | 2004-2005 | 2003-2004 | 2002-2003 | 2001-2002 | 2000-2001 | 1999-2000 | 2026-2027</t>
  </si>
  <si>
    <t>qPwGZal50yH</t>
  </si>
  <si>
    <t>INTEGER_ZERO_OR_POSITIVE</t>
  </si>
  <si>
    <t>N125iWpmHAs</t>
  </si>
  <si>
    <t>Agriculture</t>
  </si>
  <si>
    <t>c5vqBiyz8ce</t>
  </si>
  <si>
    <t>cDodCoQZG6E</t>
  </si>
  <si>
    <t>nnw0RNh382Y</t>
  </si>
  <si>
    <t>ET0hku2HJ6z</t>
  </si>
  <si>
    <t>bLGE9O5VCTW</t>
  </si>
  <si>
    <t>Subject Grade - Agriculture</t>
  </si>
  <si>
    <t>Level 1 (Need Support) | Level 2 (Average) | Level 3 (Good) | Level 4 (Excellent)</t>
  </si>
  <si>
    <t>TeMMZcb3Vz6</t>
  </si>
  <si>
    <t>ET5SVINRPRX</t>
  </si>
  <si>
    <t>Excellent | Good | Average | Need Support</t>
  </si>
  <si>
    <t>cir6dkttiYm</t>
  </si>
  <si>
    <t>iQDAkGbbqkZ</t>
  </si>
  <si>
    <t>zswZCeCMvub</t>
  </si>
  <si>
    <t>oS5bHWODGyg</t>
  </si>
  <si>
    <t>xl6RENP3xKs</t>
  </si>
  <si>
    <t>Subject Grade - Primary Science</t>
  </si>
  <si>
    <t>Tb72F3XOnJR</t>
  </si>
  <si>
    <t>Primary Science</t>
  </si>
  <si>
    <t>ITSnf9CISEX</t>
  </si>
  <si>
    <t>Subject Grade - Social Studies</t>
  </si>
  <si>
    <t>d6KEVUmn4VR</t>
  </si>
  <si>
    <t>Social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</si>
</sst>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CE5CD"/>
      </patternFill>
    </fill>
    <fill>
      <patternFill patternType="solid">
        <fgColor rgb="D9EAD3"/>
      </patternFill>
    </fill>
    <fill>
      <patternFill patternType="solid">
        <fgColor auto="1"/>
      </patternFill>
    </fill>
    <fill>
      <patternFill patternType="solid">
        <fgColor rgb="EDEDED"/>
      </patternFill>
    </fill>
  </fills>
  <borders count="2">
    <border>
      <left/>
      <right/>
      <top/>
      <bottom/>
      <diagonal/>
    </border>
    <border>
      <left style="thin">
        <color rgb="9B9B9B"/>
      </left>
      <right style="thin">
        <color rgb="9B9B9B"/>
      </right>
      <top style="thin">
        <color rgb="9B9B9B"/>
      </top>
      <bottom style="thin">
        <color rgb="9B9B9B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/>
    <xf numFmtId="49" fontId="1" fillId="3" borderId="1" xfId="0" applyNumberFormat="1" applyFont="1" applyFill="1" applyBorder="1"/>
    <xf numFmtId="49" fontId="1" fillId="4" borderId="1" xfId="0" applyNumberFormat="1" applyFont="1" applyFill="1" applyBorder="1"/>
    <xf numFmtId="0" fontId="1" fillId="4" borderId="1" xfId="0" applyFont="1" applyFill="1" applyBorder="1"/>
    <xf numFmtId="49" fontId="0" fillId="0" borderId="0" xfId="0" applyNumberFormat="1" applyProtection="1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0" fillId="5" borderId="1" xfId="0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2" x14ac:dyDescent="0.25">
      <c r="A4" t="s">
        <v>9</v>
      </c>
      <c r="B4" t="s">
        <v>10</v>
      </c>
    </row>
    <row r="5" spans="1:2" x14ac:dyDescent="0.25">
      <c r="A5" t="s">
        <v>11</v>
      </c>
      <c r="B5" t="s">
        <v>12</v>
      </c>
    </row>
    <row r="6" spans="1:2" x14ac:dyDescent="0.25">
      <c r="A6" t="s">
        <v>13</v>
      </c>
      <c r="B6" t="s">
        <v>14</v>
      </c>
    </row>
    <row r="7" spans="1:2" x14ac:dyDescent="0.25">
      <c r="A7" t="s">
        <v>15</v>
      </c>
      <c r="B7" t="s">
        <v>16</v>
      </c>
    </row>
    <row r="8" spans="1:2" x14ac:dyDescent="0.25">
      <c r="A8" t="s">
        <v>17</v>
      </c>
      <c r="B8" t="s">
        <v>18</v>
      </c>
    </row>
    <row r="9" spans="1:1" x14ac:dyDescent="0.25">
      <c r="A9" t="s">
        <v>19</v>
      </c>
    </row>
  </sheetData>
  <sheetProtection sheet="1" formatCells="0" sort="0" autoFilter="0" algorithmName="SHA-512" hashValue="yRwBp6u/C5b5tjWGXbw4OONvIlwftZ7HZ4n7lHlvN3fB3Nj1e8ApuSlCa5JU2tY+kNxPafUi0q17mtJA1FSP2w==" saltValue="y/hXuWn7KYyWVhORKbLLdA==" spinCount="100000" objects="1" scenarios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4"/>
  <sheetFormatPr defaultRowHeight="15" outlineLevelRow="0" outlineLevelCol="0" x14ac:dyDescent="55"/>
  <cols>
    <col min="1" max="1" width="5" style="1" customWidth="1"/>
    <col min="2" max="2" width="7" style="1" customWidth="1"/>
    <col min="3" max="3" width="8" style="1" customWidth="1"/>
    <col min="4" max="4" width="5" style="1" customWidth="1"/>
    <col min="5" max="5" width="12" style="1" customWidth="1"/>
    <col min="6" max="6" width="9" style="1" customWidth="1"/>
    <col min="7" max="7" width="8" style="1" customWidth="1"/>
    <col min="8" max="8" width="13" style="1" customWidth="1"/>
    <col min="9" max="9" width="29" customWidth="1"/>
    <col min="10" max="10" width="17" style="1" customWidth="1"/>
    <col min="11" max="11" width="33" customWidth="1"/>
    <col min="12" max="12" width="10" style="1" customWidth="1"/>
    <col min="13" max="13" width="26" customWidth="1"/>
    <col min="14" max="14" width="9" style="1" customWidth="1"/>
    <col min="15" max="15" width="25" customWidth="1"/>
    <col min="16" max="16" width="17" style="1" customWidth="1"/>
    <col min="17" max="17" width="33" customWidth="1"/>
    <col min="18" max="18" width="14" customWidth="1"/>
    <col min="19" max="19" width="13" style="1" customWidth="1"/>
    <col min="20" max="20" width="29" customWidth="1"/>
    <col min="21" max="21" width="17" style="1" customWidth="1"/>
    <col min="22" max="22" width="33" customWidth="1"/>
    <col min="23" max="23" width="10" style="1" customWidth="1"/>
    <col min="24" max="24" width="26" customWidth="1"/>
    <col min="25" max="25" width="9" style="1" customWidth="1"/>
    <col min="26" max="26" width="25" customWidth="1"/>
    <col min="27" max="27" width="17" style="1" customWidth="1"/>
    <col min="28" max="28" width="33" customWidth="1"/>
    <col min="29" max="29" width="14" customWidth="1"/>
    <col min="30" max="30" width="13" style="1" customWidth="1"/>
    <col min="31" max="31" width="29" customWidth="1"/>
    <col min="32" max="32" width="17" style="1" customWidth="1"/>
    <col min="33" max="33" width="33" customWidth="1"/>
    <col min="34" max="34" width="9" style="1" customWidth="1"/>
    <col min="35" max="35" width="25" customWidth="1"/>
    <col min="36" max="36" width="17" style="1" customWidth="1"/>
    <col min="37" max="37" width="33" customWidth="1"/>
    <col min="38" max="38" width="10" style="1" customWidth="1"/>
    <col min="39" max="39" width="26" customWidth="1"/>
    <col min="40" max="40" width="14" customWidth="1"/>
    <col min="41" max="43" width="25" style="1" hidden="1" customWidth="1"/>
  </cols>
  <sheetData>
    <row r="1" spans="1:43" x14ac:dyDescent="0.25">
      <c r="A1" s="2" t="s">
        <v>20</v>
      </c>
      <c r="B1" s="2"/>
      <c r="C1" s="2"/>
      <c r="D1" s="3" t="s">
        <v>21</v>
      </c>
      <c r="E1" s="3"/>
      <c r="F1" s="3"/>
      <c r="G1" s="3"/>
      <c r="H1" s="4" t="s">
        <v>22</v>
      </c>
      <c r="I1" s="4"/>
      <c r="J1" s="4"/>
      <c r="K1" s="4"/>
      <c r="L1" s="4"/>
      <c r="M1" s="4"/>
      <c r="N1" s="4"/>
      <c r="O1" s="4"/>
      <c r="P1" s="4"/>
      <c r="Q1" s="4"/>
      <c r="R1" s="4"/>
      <c r="S1" s="4" t="s">
        <v>23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 t="s">
        <v>24</v>
      </c>
      <c r="AE1" s="4"/>
      <c r="AF1" s="4"/>
      <c r="AG1" s="4"/>
      <c r="AH1" s="4"/>
      <c r="AI1" s="4"/>
      <c r="AJ1" s="4"/>
      <c r="AK1" s="4"/>
      <c r="AL1" s="4"/>
      <c r="AM1" s="4"/>
      <c r="AN1" s="4"/>
      <c r="AO1" s="5" t="s">
        <v>25</v>
      </c>
      <c r="AP1" s="5"/>
      <c r="AQ1" s="5"/>
    </row>
    <row r="2" spans="1:43" x14ac:dyDescent="0.25">
      <c r="A2" s="6" t="s">
        <v>26</v>
      </c>
      <c r="B2" s="6" t="s">
        <v>27</v>
      </c>
      <c r="C2" s="6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8" t="s">
        <v>33</v>
      </c>
      <c r="I2" s="9" t="s">
        <v>34</v>
      </c>
      <c r="J2" s="8" t="s">
        <v>35</v>
      </c>
      <c r="K2" s="9" t="s">
        <v>36</v>
      </c>
      <c r="L2" s="8" t="s">
        <v>37</v>
      </c>
      <c r="M2" s="9" t="s">
        <v>38</v>
      </c>
      <c r="N2" s="8" t="s">
        <v>39</v>
      </c>
      <c r="O2" s="9" t="s">
        <v>40</v>
      </c>
      <c r="P2" s="8" t="s">
        <v>41</v>
      </c>
      <c r="Q2" s="9" t="s">
        <v>42</v>
      </c>
      <c r="R2" s="9" t="s">
        <v>43</v>
      </c>
      <c r="S2" s="8" t="s">
        <v>33</v>
      </c>
      <c r="T2" s="9" t="s">
        <v>34</v>
      </c>
      <c r="U2" s="8" t="s">
        <v>35</v>
      </c>
      <c r="V2" s="9" t="s">
        <v>36</v>
      </c>
      <c r="W2" s="8" t="s">
        <v>37</v>
      </c>
      <c r="X2" s="9" t="s">
        <v>38</v>
      </c>
      <c r="Y2" s="8" t="s">
        <v>39</v>
      </c>
      <c r="Z2" s="9" t="s">
        <v>40</v>
      </c>
      <c r="AA2" s="8" t="s">
        <v>41</v>
      </c>
      <c r="AB2" s="9" t="s">
        <v>42</v>
      </c>
      <c r="AC2" s="9" t="s">
        <v>43</v>
      </c>
      <c r="AD2" s="8" t="s">
        <v>33</v>
      </c>
      <c r="AE2" s="9" t="s">
        <v>34</v>
      </c>
      <c r="AF2" s="8" t="s">
        <v>35</v>
      </c>
      <c r="AG2" s="9" t="s">
        <v>36</v>
      </c>
      <c r="AH2" s="8" t="s">
        <v>39</v>
      </c>
      <c r="AI2" s="9" t="s">
        <v>40</v>
      </c>
      <c r="AJ2" s="8" t="s">
        <v>41</v>
      </c>
      <c r="AK2" s="9" t="s">
        <v>42</v>
      </c>
      <c r="AL2" s="8" t="s">
        <v>37</v>
      </c>
      <c r="AM2" s="9" t="s">
        <v>38</v>
      </c>
      <c r="AN2" s="9" t="s">
        <v>43</v>
      </c>
      <c r="AO2" s="8" t="s">
        <v>44</v>
      </c>
      <c r="AP2" s="8" t="s">
        <v>45</v>
      </c>
      <c r="AQ2" s="8" t="s">
        <v>46</v>
      </c>
    </row>
    <row r="3" hidden="1" spans="1:43" x14ac:dyDescent="0.25">
      <c r="A3" s="10" t="s">
        <v>47</v>
      </c>
      <c r="B3" s="10" t="s">
        <v>48</v>
      </c>
      <c r="C3" s="10" t="s">
        <v>49</v>
      </c>
      <c r="D3" s="10" t="s">
        <v>50</v>
      </c>
      <c r="E3" s="10" t="s">
        <v>51</v>
      </c>
      <c r="F3" s="10" t="s">
        <v>52</v>
      </c>
      <c r="G3" s="10" t="s">
        <v>2</v>
      </c>
      <c r="H3" s="11" t="s">
        <v>53</v>
      </c>
      <c r="I3" s="12" t="s">
        <v>54</v>
      </c>
      <c r="J3" s="11" t="s">
        <v>55</v>
      </c>
      <c r="K3" s="12" t="s">
        <v>56</v>
      </c>
      <c r="L3" s="11" t="s">
        <v>57</v>
      </c>
      <c r="M3" s="12" t="s">
        <v>58</v>
      </c>
      <c r="N3" s="11" t="s">
        <v>59</v>
      </c>
      <c r="O3" s="12" t="s">
        <v>60</v>
      </c>
      <c r="P3" s="11" t="s">
        <v>61</v>
      </c>
      <c r="Q3" s="12" t="s">
        <v>62</v>
      </c>
      <c r="R3" s="12" t="s">
        <v>63</v>
      </c>
      <c r="S3" s="11" t="s">
        <v>64</v>
      </c>
      <c r="T3" s="12" t="s">
        <v>65</v>
      </c>
      <c r="U3" s="11" t="s">
        <v>66</v>
      </c>
      <c r="V3" s="12" t="s">
        <v>67</v>
      </c>
      <c r="W3" s="11" t="s">
        <v>68</v>
      </c>
      <c r="X3" s="12" t="s">
        <v>69</v>
      </c>
      <c r="Y3" s="11" t="s">
        <v>70</v>
      </c>
      <c r="Z3" s="12" t="s">
        <v>71</v>
      </c>
      <c r="AA3" s="11" t="s">
        <v>72</v>
      </c>
      <c r="AB3" s="12" t="s">
        <v>73</v>
      </c>
      <c r="AC3" s="12" t="s">
        <v>74</v>
      </c>
      <c r="AD3" s="11" t="s">
        <v>75</v>
      </c>
      <c r="AE3" s="12" t="s">
        <v>76</v>
      </c>
      <c r="AF3" s="11" t="s">
        <v>77</v>
      </c>
      <c r="AG3" s="12" t="s">
        <v>78</v>
      </c>
      <c r="AH3" s="11" t="s">
        <v>79</v>
      </c>
      <c r="AI3" s="12" t="s">
        <v>80</v>
      </c>
      <c r="AJ3" s="11" t="s">
        <v>81</v>
      </c>
      <c r="AK3" s="12" t="s">
        <v>82</v>
      </c>
      <c r="AL3" s="11" t="s">
        <v>83</v>
      </c>
      <c r="AM3" s="12" t="s">
        <v>84</v>
      </c>
      <c r="AN3" s="12" t="s">
        <v>85</v>
      </c>
      <c r="AO3" s="10" t="s">
        <v>86</v>
      </c>
      <c r="AP3" s="10" t="s">
        <v>87</v>
      </c>
      <c r="AQ3" s="10" t="s">
        <v>88</v>
      </c>
    </row>
    <row r="4" spans="1:43" x14ac:dyDescent="0.25">
      <c r="A4" s="10" t="s">
        <v>89</v>
      </c>
      <c r="B4" s="10" t="s">
        <v>3</v>
      </c>
      <c r="C4" s="10" t="s">
        <v>7</v>
      </c>
      <c r="D4" s="10" t="s">
        <v>90</v>
      </c>
      <c r="E4" s="10" t="s">
        <v>91</v>
      </c>
      <c r="F4" s="10" t="s">
        <v>92</v>
      </c>
      <c r="G4" s="10" t="s">
        <v>5</v>
      </c>
      <c r="H4" s="11"/>
      <c r="I4" s="13" t="str">
        <f>IF(TRIM(H4&amp;"")="","",IFERROR(IF(AND(VALUE(H4&amp;"")&gt;=0,VALUE(H4&amp;"")&lt;=39.99),"Level 1","")&amp;IF(AND(VALUE(H4&amp;"")&gt;=40,VALUE(H4&amp;"")&lt;=59.99),"Level 2","")&amp;IF(AND(VALUE(H4&amp;"")&gt;=60,VALUE(H4&amp;"")&lt;=79.99),"Level 3","")&amp;IF(AND(VALUE(H4&amp;"")&gt;=80,VALUE(H4&amp;"")&lt;=100),"Level 4",""),""))</f>
        <v/>
      </c>
      <c r="J4" s="11"/>
      <c r="K4" s="13" t="str">
        <f>IF(TRIM(J4&amp;"")="","",IFERROR(IF(AND(VALUE(J4&amp;"")&gt;=0,VALUE(J4&amp;"")&lt;=39.99),"Level 1","")&amp;IF(AND(VALUE(J4&amp;"")&gt;=40,VALUE(J4&amp;"")&lt;=59.99),"Level 2","")&amp;IF(AND(VALUE(J4&amp;"")&gt;=60,VALUE(J4&amp;"")&lt;=79.99),"Level 3","")&amp;IF(AND(VALUE(J4&amp;"")&gt;=80,VALUE(J4&amp;"")&lt;=100),"Level 4",""),""))</f>
        <v/>
      </c>
      <c r="L4" s="11"/>
      <c r="M4" s="13" t="str">
        <f>IF(TRIM(L4&amp;"")="","",IFERROR(IF(AND(VALUE(L4&amp;"")&gt;=0,VALUE(L4&amp;"")&lt;=39.99),"Level 1","")&amp;IF(AND(VALUE(L4&amp;"")&gt;=40,VALUE(L4&amp;"")&lt;=59.99),"Level 2","")&amp;IF(AND(VALUE(L4&amp;"")&gt;=60,VALUE(L4&amp;"")&lt;=79.99),"Level 3","")&amp;IF(AND(VALUE(L4&amp;"")&gt;=80,VALUE(L4&amp;"")&lt;=100),"Level 4",""),""))</f>
        <v/>
      </c>
      <c r="N4" s="11"/>
      <c r="O4" s="13" t="str">
        <f>IF(TRIM(N4&amp;"")="","",IFERROR(IF(AND(VALUE(N4&amp;"")&gt;=0,VALUE(N4&amp;"")&lt;=39.99),"Level 1","")&amp;IF(AND(VALUE(N4&amp;"")&gt;=40,VALUE(N4&amp;"")&lt;=59.99),"Level 2","")&amp;IF(AND(VALUE(N4&amp;"")&gt;=60,VALUE(N4&amp;"")&lt;=79.99),"Level 3","")&amp;IF(AND(VALUE(N4&amp;"")&gt;=80,VALUE(N4&amp;"")&lt;=100),"Level 4",""),""))</f>
        <v/>
      </c>
      <c r="P4" s="11"/>
      <c r="Q4" s="13" t="str">
        <f>IF(TRIM(P4&amp;"")="","",IFERROR(IF(AND(VALUE(P4&amp;"")&gt;=0,VALUE(P4&amp;"")&lt;=39.99),"Level 1","")&amp;IF(AND(VALUE(P4&amp;"")&gt;=40,VALUE(P4&amp;"")&lt;=59.99),"Level 2","")&amp;IF(AND(VALUE(P4&amp;"")&gt;=60,VALUE(P4&amp;"")&lt;=79.99),"Level 3","")&amp;IF(AND(VALUE(P4&amp;"")&gt;=80,VALUE(P4&amp;"")&lt;=100),"Level 4",""),""))</f>
        <v/>
      </c>
      <c r="R4" s="13" t="str">
        <f>IF(((TRIM(H4&amp;"")&lt;&gt;"")+(TRIM(J4&amp;"")&lt;&gt;"")+(TRIM(L4&amp;"")&lt;&gt;"")+(TRIM(N4&amp;"")&lt;&gt;"")+(TRIM(P4&amp;"")&lt;&gt;""))=0,"",IF(AND(((IFERROR(VALUE(H4&amp;""),0)+IFERROR(VALUE(J4&amp;""),0)+IFERROR(VALUE(L4&amp;""),0)+IFERROR(VALUE(N4&amp;""),0)+IFERROR(VALUE(P4&amp;""),0))/500*100)&gt;=80,((IFERROR(VALUE(H4&amp;""),0)+IFERROR(VALUE(J4&amp;""),0)+IFERROR(VALUE(L4&amp;""),0)+IFERROR(VALUE(N4&amp;""),0)+IFERROR(VALUE(P4&amp;""),0))/500*100)&lt;=100),"EXCELLENT","")&amp;IF(AND(((IFERROR(VALUE(H4&amp;""),0)+IFERROR(VALUE(J4&amp;""),0)+IFERROR(VALUE(L4&amp;""),0)+IFERROR(VALUE(N4&amp;""),0)+IFERROR(VALUE(P4&amp;""),0))/500*100)&gt;=60,((IFERROR(VALUE(H4&amp;""),0)+IFERROR(VALUE(J4&amp;""),0)+IFERROR(VALUE(L4&amp;""),0)+IFERROR(VALUE(N4&amp;""),0)+IFERROR(VALUE(P4&amp;""),0))/500*100)&lt;=79.99),"GOOD","")&amp;IF(AND(((IFERROR(VALUE(H4&amp;""),0)+IFERROR(VALUE(J4&amp;""),0)+IFERROR(VALUE(L4&amp;""),0)+IFERROR(VALUE(N4&amp;""),0)+IFERROR(VALUE(P4&amp;""),0))/500*100)&gt;=40,((IFERROR(VALUE(H4&amp;""),0)+IFERROR(VALUE(J4&amp;""),0)+IFERROR(VALUE(L4&amp;""),0)+IFERROR(VALUE(N4&amp;""),0)+IFERROR(VALUE(P4&amp;""),0))/500*100)&lt;=59.99),"AVERAGE","")&amp;IF(AND(((IFERROR(VALUE(H4&amp;""),0)+IFERROR(VALUE(J4&amp;""),0)+IFERROR(VALUE(L4&amp;""),0)+IFERROR(VALUE(N4&amp;""),0)+IFERROR(VALUE(P4&amp;""),0))/500*100)&gt;=0,((IFERROR(VALUE(H4&amp;""),0)+IFERROR(VALUE(J4&amp;""),0)+IFERROR(VALUE(L4&amp;""),0)+IFERROR(VALUE(N4&amp;""),0)+IFERROR(VALUE(P4&amp;""),0))/500*100)&lt;=39.99),"NEEDS SUPPORT",""))</f>
        <v/>
      </c>
      <c r="S4" s="11"/>
      <c r="T4" s="13" t="str">
        <f>IF(TRIM(S4&amp;"")="","",IFERROR(IF(AND(VALUE(S4&amp;"")&gt;=0,VALUE(S4&amp;"")&lt;=39.99),"Level 1","")&amp;IF(AND(VALUE(S4&amp;"")&gt;=40,VALUE(S4&amp;"")&lt;=59.99),"Level 2","")&amp;IF(AND(VALUE(S4&amp;"")&gt;=60,VALUE(S4&amp;"")&lt;=79.99),"Level 3","")&amp;IF(AND(VALUE(S4&amp;"")&gt;=80,VALUE(S4&amp;"")&lt;=100),"Level 4",""),""))</f>
        <v/>
      </c>
      <c r="U4" s="11"/>
      <c r="V4" s="13" t="str">
        <f>IF(TRIM(U4&amp;"")="","",IFERROR(IF(AND(VALUE(U4&amp;"")&gt;=0,VALUE(U4&amp;"")&lt;=39.99),"Level 1","")&amp;IF(AND(VALUE(U4&amp;"")&gt;=40,VALUE(U4&amp;"")&lt;=59.99),"Level 2","")&amp;IF(AND(VALUE(U4&amp;"")&gt;=60,VALUE(U4&amp;"")&lt;=79.99),"Level 3","")&amp;IF(AND(VALUE(U4&amp;"")&gt;=80,VALUE(U4&amp;"")&lt;=100),"Level 4",""),""))</f>
        <v/>
      </c>
      <c r="W4" s="11"/>
      <c r="X4" s="13" t="str">
        <f>IF(TRIM(W4&amp;"")="","",IFERROR(IF(AND(VALUE(W4&amp;"")&gt;=0,VALUE(W4&amp;"")&lt;=39.99),"Level 1","")&amp;IF(AND(VALUE(W4&amp;"")&gt;=40,VALUE(W4&amp;"")&lt;=59.99),"Level 2","")&amp;IF(AND(VALUE(W4&amp;"")&gt;=60,VALUE(W4&amp;"")&lt;=79.99),"Level 3","")&amp;IF(AND(VALUE(W4&amp;"")&gt;=80,VALUE(W4&amp;"")&lt;=100),"Level 4",""),""))</f>
        <v/>
      </c>
      <c r="Y4" s="11"/>
      <c r="Z4" s="13" t="str">
        <f>IF(TRIM(Y4&amp;"")="","",IFERROR(IF(AND(VALUE(Y4&amp;"")&gt;=0,VALUE(Y4&amp;"")&lt;=39.99),"Level 1","")&amp;IF(AND(VALUE(Y4&amp;"")&gt;=40,VALUE(Y4&amp;"")&lt;=59.99),"Level 2","")&amp;IF(AND(VALUE(Y4&amp;"")&gt;=60,VALUE(Y4&amp;"")&lt;=79.99),"Level 3","")&amp;IF(AND(VALUE(Y4&amp;"")&gt;=80,VALUE(Y4&amp;"")&lt;=100),"Level 4",""),""))</f>
        <v/>
      </c>
      <c r="AA4" s="11"/>
      <c r="AB4" s="13" t="str">
        <f>IF(TRIM(AA4&amp;"")="","",IFERROR(IF(AND(VALUE(AA4&amp;"")&gt;=0,VALUE(AA4&amp;"")&lt;=39.99),"Level 1","")&amp;IF(AND(VALUE(AA4&amp;"")&gt;=40,VALUE(AA4&amp;"")&lt;=59.99),"Level 2","")&amp;IF(AND(VALUE(AA4&amp;"")&gt;=60,VALUE(AA4&amp;"")&lt;=79.99),"Level 3","")&amp;IF(AND(VALUE(AA4&amp;"")&gt;=80,VALUE(AA4&amp;"")&lt;=100),"Level 4",""),""))</f>
        <v/>
      </c>
      <c r="AC4" s="13" t="str">
        <f>IF(((TRIM(S4&amp;"")&lt;&gt;"")+(TRIM(U4&amp;"")&lt;&gt;"")+(TRIM(W4&amp;"")&lt;&gt;"")+(TRIM(Y4&amp;"")&lt;&gt;"")+(TRIM(AA4&amp;"")&lt;&gt;""))=0,"",IF(AND(((IFERROR(VALUE(S4&amp;""),0)+IFERROR(VALUE(U4&amp;""),0)+IFERROR(VALUE(W4&amp;""),0)+IFERROR(VALUE(Y4&amp;""),0)+IFERROR(VALUE(AA4&amp;""),0))/500*100)&gt;=80,((IFERROR(VALUE(S4&amp;""),0)+IFERROR(VALUE(U4&amp;""),0)+IFERROR(VALUE(W4&amp;""),0)+IFERROR(VALUE(Y4&amp;""),0)+IFERROR(VALUE(AA4&amp;""),0))/500*100)&lt;=100),"EXCELLENT","")&amp;IF(AND(((IFERROR(VALUE(S4&amp;""),0)+IFERROR(VALUE(U4&amp;""),0)+IFERROR(VALUE(W4&amp;""),0)+IFERROR(VALUE(Y4&amp;""),0)+IFERROR(VALUE(AA4&amp;""),0))/500*100)&gt;=60,((IFERROR(VALUE(S4&amp;""),0)+IFERROR(VALUE(U4&amp;""),0)+IFERROR(VALUE(W4&amp;""),0)+IFERROR(VALUE(Y4&amp;""),0)+IFERROR(VALUE(AA4&amp;""),0))/500*100)&lt;=79.99),"GOOD","")&amp;IF(AND(((IFERROR(VALUE(S4&amp;""),0)+IFERROR(VALUE(U4&amp;""),0)+IFERROR(VALUE(W4&amp;""),0)+IFERROR(VALUE(Y4&amp;""),0)+IFERROR(VALUE(AA4&amp;""),0))/500*100)&gt;=40,((IFERROR(VALUE(S4&amp;""),0)+IFERROR(VALUE(U4&amp;""),0)+IFERROR(VALUE(W4&amp;""),0)+IFERROR(VALUE(Y4&amp;""),0)+IFERROR(VALUE(AA4&amp;""),0))/500*100)&lt;=59.99),"AVERAGE","")&amp;IF(AND(((IFERROR(VALUE(S4&amp;""),0)+IFERROR(VALUE(U4&amp;""),0)+IFERROR(VALUE(W4&amp;""),0)+IFERROR(VALUE(Y4&amp;""),0)+IFERROR(VALUE(AA4&amp;""),0))/500*100)&gt;=0,((IFERROR(VALUE(S4&amp;""),0)+IFERROR(VALUE(U4&amp;""),0)+IFERROR(VALUE(W4&amp;""),0)+IFERROR(VALUE(Y4&amp;""),0)+IFERROR(VALUE(AA4&amp;""),0))/500*100)&lt;=39.99),"NEEDS SUPPORT",""))</f>
        <v/>
      </c>
      <c r="AD4" s="11"/>
      <c r="AE4" s="13" t="str">
        <f>IF(TRIM(AD4&amp;"")="","",IFERROR(IF(AND(VALUE(AD4&amp;"")&gt;=0,VALUE(AD4&amp;"")&lt;=39.99),"Level 1","")&amp;IF(AND(VALUE(AD4&amp;"")&gt;=40,VALUE(AD4&amp;"")&lt;=59.99),"Level 2","")&amp;IF(AND(VALUE(AD4&amp;"")&gt;=60,VALUE(AD4&amp;"")&lt;=79.99),"Level 3","")&amp;IF(AND(VALUE(AD4&amp;"")&gt;=80,VALUE(AD4&amp;"")&lt;=100),"Level 4",""),""))</f>
        <v/>
      </c>
      <c r="AF4" s="11"/>
      <c r="AG4" s="13" t="str">
        <f>IF(TRIM(AF4&amp;"")="","",IFERROR(IF(AND(VALUE(AF4&amp;"")&gt;=0,VALUE(AF4&amp;"")&lt;=39.99),"Level 1","")&amp;IF(AND(VALUE(AF4&amp;"")&gt;=40,VALUE(AF4&amp;"")&lt;=59.99),"Level 2","")&amp;IF(AND(VALUE(AF4&amp;"")&gt;=60,VALUE(AF4&amp;"")&lt;=79.99),"Level 3","")&amp;IF(AND(VALUE(AF4&amp;"")&gt;=80,VALUE(AF4&amp;"")&lt;=100),"Level 4",""),""))</f>
        <v/>
      </c>
      <c r="AH4" s="11"/>
      <c r="AI4" s="13" t="str">
        <f>IF(TRIM(AH4&amp;"")="","",IFERROR(IF(AND(VALUE(AH4&amp;"")&gt;=0,VALUE(AH4&amp;"")&lt;=39.99),"Level 1","")&amp;IF(AND(VALUE(AH4&amp;"")&gt;=40,VALUE(AH4&amp;"")&lt;=59.99),"Level 2","")&amp;IF(AND(VALUE(AH4&amp;"")&gt;=60,VALUE(AH4&amp;"")&lt;=79.99),"Level 3","")&amp;IF(AND(VALUE(AH4&amp;"")&gt;=80,VALUE(AH4&amp;"")&lt;=100),"Level 4",""),""))</f>
        <v/>
      </c>
      <c r="AJ4" s="11"/>
      <c r="AK4" s="13" t="str">
        <f>IF(TRIM(AJ4&amp;"")="","",IFERROR(IF(AND(VALUE(AJ4&amp;"")&gt;=0,VALUE(AJ4&amp;"")&lt;=39.99),"Level 1","")&amp;IF(AND(VALUE(AJ4&amp;"")&gt;=40,VALUE(AJ4&amp;"")&lt;=59.99),"Level 2","")&amp;IF(AND(VALUE(AJ4&amp;"")&gt;=60,VALUE(AJ4&amp;"")&lt;=79.99),"Level 3","")&amp;IF(AND(VALUE(AJ4&amp;"")&gt;=80,VALUE(AJ4&amp;"")&lt;=100),"Level 4",""),""))</f>
        <v/>
      </c>
      <c r="AL4" s="11"/>
      <c r="AM4" s="13" t="str">
        <f>IF(TRIM(AL4&amp;"")="","",IFERROR(IF(AND(VALUE(AL4&amp;"")&gt;=0,VALUE(AL4&amp;"")&lt;=39.99),"Level 1","")&amp;IF(AND(VALUE(AL4&amp;"")&gt;=40,VALUE(AL4&amp;"")&lt;=59.99),"Level 2","")&amp;IF(AND(VALUE(AL4&amp;"")&gt;=60,VALUE(AL4&amp;"")&lt;=79.99),"Level 3","")&amp;IF(AND(VALUE(AL4&amp;"")&gt;=80,VALUE(AL4&amp;"")&lt;=100),"Level 4",""),""))</f>
        <v/>
      </c>
      <c r="AN4" s="13" t="str">
        <f>IF(((TRIM(AD4&amp;"")&lt;&gt;"")+(TRIM(AF4&amp;"")&lt;&gt;"")+(TRIM(AH4&amp;"")&lt;&gt;"")+(TRIM(AJ4&amp;"")&lt;&gt;"")+(TRIM(AL4&amp;"")&lt;&gt;""))=0,"",IF(AND(((IFERROR(VALUE(AD4&amp;""),0)+IFERROR(VALUE(AF4&amp;""),0)+IFERROR(VALUE(AH4&amp;""),0)+IFERROR(VALUE(AJ4&amp;""),0)+IFERROR(VALUE(AL4&amp;""),0))/500*100)&gt;=80,((IFERROR(VALUE(AD4&amp;""),0)+IFERROR(VALUE(AF4&amp;""),0)+IFERROR(VALUE(AH4&amp;""),0)+IFERROR(VALUE(AJ4&amp;""),0)+IFERROR(VALUE(AL4&amp;""),0))/500*100)&lt;=100),"EXCELLENT","")&amp;IF(AND(((IFERROR(VALUE(AD4&amp;""),0)+IFERROR(VALUE(AF4&amp;""),0)+IFERROR(VALUE(AH4&amp;""),0)+IFERROR(VALUE(AJ4&amp;""),0)+IFERROR(VALUE(AL4&amp;""),0))/500*100)&gt;=60,((IFERROR(VALUE(AD4&amp;""),0)+IFERROR(VALUE(AF4&amp;""),0)+IFERROR(VALUE(AH4&amp;""),0)+IFERROR(VALUE(AJ4&amp;""),0)+IFERROR(VALUE(AL4&amp;""),0))/500*100)&lt;=79.99),"GOOD","")&amp;IF(AND(((IFERROR(VALUE(AD4&amp;""),0)+IFERROR(VALUE(AF4&amp;""),0)+IFERROR(VALUE(AH4&amp;""),0)+IFERROR(VALUE(AJ4&amp;""),0)+IFERROR(VALUE(AL4&amp;""),0))/500*100)&gt;=40,((IFERROR(VALUE(AD4&amp;""),0)+IFERROR(VALUE(AF4&amp;""),0)+IFERROR(VALUE(AH4&amp;""),0)+IFERROR(VALUE(AJ4&amp;""),0)+IFERROR(VALUE(AL4&amp;""),0))/500*100)&lt;=59.99),"AVERAGE","")&amp;IF(AND(((IFERROR(VALUE(AD4&amp;""),0)+IFERROR(VALUE(AF4&amp;""),0)+IFERROR(VALUE(AH4&amp;""),0)+IFERROR(VALUE(AJ4&amp;""),0)+IFERROR(VALUE(AL4&amp;""),0))/500*100)&gt;=0,((IFERROR(VALUE(AD4&amp;""),0)+IFERROR(VALUE(AF4&amp;""),0)+IFERROR(VALUE(AH4&amp;""),0)+IFERROR(VALUE(AJ4&amp;""),0)+IFERROR(VALUE(AL4&amp;""),0))/500*100)&lt;=39.99),"NEEDS SUPPORT",""))</f>
        <v/>
      </c>
      <c r="AO4" s="10" t="s">
        <v>93</v>
      </c>
      <c r="AP4" s="10" t="s">
        <v>94</v>
      </c>
      <c r="AQ4" s="10" t="s">
        <v>95</v>
      </c>
    </row>
    <row r="5" spans="1:43" x14ac:dyDescent="0.25">
      <c r="A5" s="10" t="s">
        <v>96</v>
      </c>
      <c r="B5" s="10" t="s">
        <v>3</v>
      </c>
      <c r="C5" s="10" t="s">
        <v>7</v>
      </c>
      <c r="D5" s="10" t="s">
        <v>97</v>
      </c>
      <c r="E5" s="10" t="s">
        <v>98</v>
      </c>
      <c r="F5" s="10" t="s">
        <v>99</v>
      </c>
      <c r="G5" s="10" t="s">
        <v>5</v>
      </c>
      <c r="H5" s="11"/>
      <c r="I5" s="13" t="str">
        <f>IF(TRIM(H5&amp;"")="","",IFERROR(IF(AND(VALUE(H5&amp;"")&gt;=0,VALUE(H5&amp;"")&lt;=39.99),"Level 1","")&amp;IF(AND(VALUE(H5&amp;"")&gt;=40,VALUE(H5&amp;"")&lt;=59.99),"Level 2","")&amp;IF(AND(VALUE(H5&amp;"")&gt;=60,VALUE(H5&amp;"")&lt;=79.99),"Level 3","")&amp;IF(AND(VALUE(H5&amp;"")&gt;=80,VALUE(H5&amp;"")&lt;=100),"Level 4",""),""))</f>
        <v/>
      </c>
      <c r="J5" s="11"/>
      <c r="K5" s="13" t="str">
        <f>IF(TRIM(J5&amp;"")="","",IFERROR(IF(AND(VALUE(J5&amp;"")&gt;=0,VALUE(J5&amp;"")&lt;=39.99),"Level 1","")&amp;IF(AND(VALUE(J5&amp;"")&gt;=40,VALUE(J5&amp;"")&lt;=59.99),"Level 2","")&amp;IF(AND(VALUE(J5&amp;"")&gt;=60,VALUE(J5&amp;"")&lt;=79.99),"Level 3","")&amp;IF(AND(VALUE(J5&amp;"")&gt;=80,VALUE(J5&amp;"")&lt;=100),"Level 4",""),""))</f>
        <v/>
      </c>
      <c r="L5" s="11"/>
      <c r="M5" s="13" t="str">
        <f>IF(TRIM(L5&amp;"")="","",IFERROR(IF(AND(VALUE(L5&amp;"")&gt;=0,VALUE(L5&amp;"")&lt;=39.99),"Level 1","")&amp;IF(AND(VALUE(L5&amp;"")&gt;=40,VALUE(L5&amp;"")&lt;=59.99),"Level 2","")&amp;IF(AND(VALUE(L5&amp;"")&gt;=60,VALUE(L5&amp;"")&lt;=79.99),"Level 3","")&amp;IF(AND(VALUE(L5&amp;"")&gt;=80,VALUE(L5&amp;"")&lt;=100),"Level 4",""),""))</f>
        <v/>
      </c>
      <c r="N5" s="11"/>
      <c r="O5" s="13" t="str">
        <f>IF(TRIM(N5&amp;"")="","",IFERROR(IF(AND(VALUE(N5&amp;"")&gt;=0,VALUE(N5&amp;"")&lt;=39.99),"Level 1","")&amp;IF(AND(VALUE(N5&amp;"")&gt;=40,VALUE(N5&amp;"")&lt;=59.99),"Level 2","")&amp;IF(AND(VALUE(N5&amp;"")&gt;=60,VALUE(N5&amp;"")&lt;=79.99),"Level 3","")&amp;IF(AND(VALUE(N5&amp;"")&gt;=80,VALUE(N5&amp;"")&lt;=100),"Level 4",""),""))</f>
        <v/>
      </c>
      <c r="P5" s="11"/>
      <c r="Q5" s="13" t="str">
        <f>IF(TRIM(P5&amp;"")="","",IFERROR(IF(AND(VALUE(P5&amp;"")&gt;=0,VALUE(P5&amp;"")&lt;=39.99),"Level 1","")&amp;IF(AND(VALUE(P5&amp;"")&gt;=40,VALUE(P5&amp;"")&lt;=59.99),"Level 2","")&amp;IF(AND(VALUE(P5&amp;"")&gt;=60,VALUE(P5&amp;"")&lt;=79.99),"Level 3","")&amp;IF(AND(VALUE(P5&amp;"")&gt;=80,VALUE(P5&amp;"")&lt;=100),"Level 4",""),""))</f>
        <v/>
      </c>
      <c r="R5" s="13" t="str">
        <f>IF(((TRIM(H5&amp;"")&lt;&gt;"")+(TRIM(J5&amp;"")&lt;&gt;"")+(TRIM(L5&amp;"")&lt;&gt;"")+(TRIM(N5&amp;"")&lt;&gt;"")+(TRIM(P5&amp;"")&lt;&gt;""))=0,"",IF(AND(((IFERROR(VALUE(H5&amp;""),0)+IFERROR(VALUE(J5&amp;""),0)+IFERROR(VALUE(L5&amp;""),0)+IFERROR(VALUE(N5&amp;""),0)+IFERROR(VALUE(P5&amp;""),0))/500*100)&gt;=80,((IFERROR(VALUE(H5&amp;""),0)+IFERROR(VALUE(J5&amp;""),0)+IFERROR(VALUE(L5&amp;""),0)+IFERROR(VALUE(N5&amp;""),0)+IFERROR(VALUE(P5&amp;""),0))/500*100)&lt;=100),"EXCELLENT","")&amp;IF(AND(((IFERROR(VALUE(H5&amp;""),0)+IFERROR(VALUE(J5&amp;""),0)+IFERROR(VALUE(L5&amp;""),0)+IFERROR(VALUE(N5&amp;""),0)+IFERROR(VALUE(P5&amp;""),0))/500*100)&gt;=60,((IFERROR(VALUE(H5&amp;""),0)+IFERROR(VALUE(J5&amp;""),0)+IFERROR(VALUE(L5&amp;""),0)+IFERROR(VALUE(N5&amp;""),0)+IFERROR(VALUE(P5&amp;""),0))/500*100)&lt;=79.99),"GOOD","")&amp;IF(AND(((IFERROR(VALUE(H5&amp;""),0)+IFERROR(VALUE(J5&amp;""),0)+IFERROR(VALUE(L5&amp;""),0)+IFERROR(VALUE(N5&amp;""),0)+IFERROR(VALUE(P5&amp;""),0))/500*100)&gt;=40,((IFERROR(VALUE(H5&amp;""),0)+IFERROR(VALUE(J5&amp;""),0)+IFERROR(VALUE(L5&amp;""),0)+IFERROR(VALUE(N5&amp;""),0)+IFERROR(VALUE(P5&amp;""),0))/500*100)&lt;=59.99),"AVERAGE","")&amp;IF(AND(((IFERROR(VALUE(H5&amp;""),0)+IFERROR(VALUE(J5&amp;""),0)+IFERROR(VALUE(L5&amp;""),0)+IFERROR(VALUE(N5&amp;""),0)+IFERROR(VALUE(P5&amp;""),0))/500*100)&gt;=0,((IFERROR(VALUE(H5&amp;""),0)+IFERROR(VALUE(J5&amp;""),0)+IFERROR(VALUE(L5&amp;""),0)+IFERROR(VALUE(N5&amp;""),0)+IFERROR(VALUE(P5&amp;""),0))/500*100)&lt;=39.99),"NEEDS SUPPORT",""))</f>
        <v/>
      </c>
      <c r="S5" s="11"/>
      <c r="T5" s="13" t="str">
        <f>IF(TRIM(S5&amp;"")="","",IFERROR(IF(AND(VALUE(S5&amp;"")&gt;=0,VALUE(S5&amp;"")&lt;=39.99),"Level 1","")&amp;IF(AND(VALUE(S5&amp;"")&gt;=40,VALUE(S5&amp;"")&lt;=59.99),"Level 2","")&amp;IF(AND(VALUE(S5&amp;"")&gt;=60,VALUE(S5&amp;"")&lt;=79.99),"Level 3","")&amp;IF(AND(VALUE(S5&amp;"")&gt;=80,VALUE(S5&amp;"")&lt;=100),"Level 4",""),""))</f>
        <v/>
      </c>
      <c r="U5" s="11"/>
      <c r="V5" s="13" t="str">
        <f>IF(TRIM(U5&amp;"")="","",IFERROR(IF(AND(VALUE(U5&amp;"")&gt;=0,VALUE(U5&amp;"")&lt;=39.99),"Level 1","")&amp;IF(AND(VALUE(U5&amp;"")&gt;=40,VALUE(U5&amp;"")&lt;=59.99),"Level 2","")&amp;IF(AND(VALUE(U5&amp;"")&gt;=60,VALUE(U5&amp;"")&lt;=79.99),"Level 3","")&amp;IF(AND(VALUE(U5&amp;"")&gt;=80,VALUE(U5&amp;"")&lt;=100),"Level 4",""),""))</f>
        <v/>
      </c>
      <c r="W5" s="11"/>
      <c r="X5" s="13" t="str">
        <f>IF(TRIM(W5&amp;"")="","",IFERROR(IF(AND(VALUE(W5&amp;"")&gt;=0,VALUE(W5&amp;"")&lt;=39.99),"Level 1","")&amp;IF(AND(VALUE(W5&amp;"")&gt;=40,VALUE(W5&amp;"")&lt;=59.99),"Level 2","")&amp;IF(AND(VALUE(W5&amp;"")&gt;=60,VALUE(W5&amp;"")&lt;=79.99),"Level 3","")&amp;IF(AND(VALUE(W5&amp;"")&gt;=80,VALUE(W5&amp;"")&lt;=100),"Level 4",""),""))</f>
        <v/>
      </c>
      <c r="Y5" s="11"/>
      <c r="Z5" s="13" t="str">
        <f>IF(TRIM(Y5&amp;"")="","",IFERROR(IF(AND(VALUE(Y5&amp;"")&gt;=0,VALUE(Y5&amp;"")&lt;=39.99),"Level 1","")&amp;IF(AND(VALUE(Y5&amp;"")&gt;=40,VALUE(Y5&amp;"")&lt;=59.99),"Level 2","")&amp;IF(AND(VALUE(Y5&amp;"")&gt;=60,VALUE(Y5&amp;"")&lt;=79.99),"Level 3","")&amp;IF(AND(VALUE(Y5&amp;"")&gt;=80,VALUE(Y5&amp;"")&lt;=100),"Level 4",""),""))</f>
        <v/>
      </c>
      <c r="AA5" s="11"/>
      <c r="AB5" s="13" t="str">
        <f>IF(TRIM(AA5&amp;"")="","",IFERROR(IF(AND(VALUE(AA5&amp;"")&gt;=0,VALUE(AA5&amp;"")&lt;=39.99),"Level 1","")&amp;IF(AND(VALUE(AA5&amp;"")&gt;=40,VALUE(AA5&amp;"")&lt;=59.99),"Level 2","")&amp;IF(AND(VALUE(AA5&amp;"")&gt;=60,VALUE(AA5&amp;"")&lt;=79.99),"Level 3","")&amp;IF(AND(VALUE(AA5&amp;"")&gt;=80,VALUE(AA5&amp;"")&lt;=100),"Level 4",""),""))</f>
        <v/>
      </c>
      <c r="AC5" s="13" t="str">
        <f>IF(((TRIM(S5&amp;"")&lt;&gt;"")+(TRIM(U5&amp;"")&lt;&gt;"")+(TRIM(W5&amp;"")&lt;&gt;"")+(TRIM(Y5&amp;"")&lt;&gt;"")+(TRIM(AA5&amp;"")&lt;&gt;""))=0,"",IF(AND(((IFERROR(VALUE(S5&amp;""),0)+IFERROR(VALUE(U5&amp;""),0)+IFERROR(VALUE(W5&amp;""),0)+IFERROR(VALUE(Y5&amp;""),0)+IFERROR(VALUE(AA5&amp;""),0))/500*100)&gt;=80,((IFERROR(VALUE(S5&amp;""),0)+IFERROR(VALUE(U5&amp;""),0)+IFERROR(VALUE(W5&amp;""),0)+IFERROR(VALUE(Y5&amp;""),0)+IFERROR(VALUE(AA5&amp;""),0))/500*100)&lt;=100),"EXCELLENT","")&amp;IF(AND(((IFERROR(VALUE(S5&amp;""),0)+IFERROR(VALUE(U5&amp;""),0)+IFERROR(VALUE(W5&amp;""),0)+IFERROR(VALUE(Y5&amp;""),0)+IFERROR(VALUE(AA5&amp;""),0))/500*100)&gt;=60,((IFERROR(VALUE(S5&amp;""),0)+IFERROR(VALUE(U5&amp;""),0)+IFERROR(VALUE(W5&amp;""),0)+IFERROR(VALUE(Y5&amp;""),0)+IFERROR(VALUE(AA5&amp;""),0))/500*100)&lt;=79.99),"GOOD","")&amp;IF(AND(((IFERROR(VALUE(S5&amp;""),0)+IFERROR(VALUE(U5&amp;""),0)+IFERROR(VALUE(W5&amp;""),0)+IFERROR(VALUE(Y5&amp;""),0)+IFERROR(VALUE(AA5&amp;""),0))/500*100)&gt;=40,((IFERROR(VALUE(S5&amp;""),0)+IFERROR(VALUE(U5&amp;""),0)+IFERROR(VALUE(W5&amp;""),0)+IFERROR(VALUE(Y5&amp;""),0)+IFERROR(VALUE(AA5&amp;""),0))/500*100)&lt;=59.99),"AVERAGE","")&amp;IF(AND(((IFERROR(VALUE(S5&amp;""),0)+IFERROR(VALUE(U5&amp;""),0)+IFERROR(VALUE(W5&amp;""),0)+IFERROR(VALUE(Y5&amp;""),0)+IFERROR(VALUE(AA5&amp;""),0))/500*100)&gt;=0,((IFERROR(VALUE(S5&amp;""),0)+IFERROR(VALUE(U5&amp;""),0)+IFERROR(VALUE(W5&amp;""),0)+IFERROR(VALUE(Y5&amp;""),0)+IFERROR(VALUE(AA5&amp;""),0))/500*100)&lt;=39.99),"NEEDS SUPPORT",""))</f>
        <v/>
      </c>
      <c r="AD5" s="11"/>
      <c r="AE5" s="13" t="str">
        <f>IF(TRIM(AD5&amp;"")="","",IFERROR(IF(AND(VALUE(AD5&amp;"")&gt;=0,VALUE(AD5&amp;"")&lt;=39.99),"Level 1","")&amp;IF(AND(VALUE(AD5&amp;"")&gt;=40,VALUE(AD5&amp;"")&lt;=59.99),"Level 2","")&amp;IF(AND(VALUE(AD5&amp;"")&gt;=60,VALUE(AD5&amp;"")&lt;=79.99),"Level 3","")&amp;IF(AND(VALUE(AD5&amp;"")&gt;=80,VALUE(AD5&amp;"")&lt;=100),"Level 4",""),""))</f>
        <v/>
      </c>
      <c r="AF5" s="11"/>
      <c r="AG5" s="13" t="str">
        <f>IF(TRIM(AF5&amp;"")="","",IFERROR(IF(AND(VALUE(AF5&amp;"")&gt;=0,VALUE(AF5&amp;"")&lt;=39.99),"Level 1","")&amp;IF(AND(VALUE(AF5&amp;"")&gt;=40,VALUE(AF5&amp;"")&lt;=59.99),"Level 2","")&amp;IF(AND(VALUE(AF5&amp;"")&gt;=60,VALUE(AF5&amp;"")&lt;=79.99),"Level 3","")&amp;IF(AND(VALUE(AF5&amp;"")&gt;=80,VALUE(AF5&amp;"")&lt;=100),"Level 4",""),""))</f>
        <v/>
      </c>
      <c r="AH5" s="11"/>
      <c r="AI5" s="13" t="str">
        <f>IF(TRIM(AH5&amp;"")="","",IFERROR(IF(AND(VALUE(AH5&amp;"")&gt;=0,VALUE(AH5&amp;"")&lt;=39.99),"Level 1","")&amp;IF(AND(VALUE(AH5&amp;"")&gt;=40,VALUE(AH5&amp;"")&lt;=59.99),"Level 2","")&amp;IF(AND(VALUE(AH5&amp;"")&gt;=60,VALUE(AH5&amp;"")&lt;=79.99),"Level 3","")&amp;IF(AND(VALUE(AH5&amp;"")&gt;=80,VALUE(AH5&amp;"")&lt;=100),"Level 4",""),""))</f>
        <v/>
      </c>
      <c r="AJ5" s="11"/>
      <c r="AK5" s="13" t="str">
        <f>IF(TRIM(AJ5&amp;"")="","",IFERROR(IF(AND(VALUE(AJ5&amp;"")&gt;=0,VALUE(AJ5&amp;"")&lt;=39.99),"Level 1","")&amp;IF(AND(VALUE(AJ5&amp;"")&gt;=40,VALUE(AJ5&amp;"")&lt;=59.99),"Level 2","")&amp;IF(AND(VALUE(AJ5&amp;"")&gt;=60,VALUE(AJ5&amp;"")&lt;=79.99),"Level 3","")&amp;IF(AND(VALUE(AJ5&amp;"")&gt;=80,VALUE(AJ5&amp;"")&lt;=100),"Level 4",""),""))</f>
        <v/>
      </c>
      <c r="AL5" s="11"/>
      <c r="AM5" s="13" t="str">
        <f>IF(TRIM(AL5&amp;"")="","",IFERROR(IF(AND(VALUE(AL5&amp;"")&gt;=0,VALUE(AL5&amp;"")&lt;=39.99),"Level 1","")&amp;IF(AND(VALUE(AL5&amp;"")&gt;=40,VALUE(AL5&amp;"")&lt;=59.99),"Level 2","")&amp;IF(AND(VALUE(AL5&amp;"")&gt;=60,VALUE(AL5&amp;"")&lt;=79.99),"Level 3","")&amp;IF(AND(VALUE(AL5&amp;"")&gt;=80,VALUE(AL5&amp;"")&lt;=100),"Level 4",""),""))</f>
        <v/>
      </c>
      <c r="AN5" s="13" t="str">
        <f>IF(((TRIM(AD5&amp;"")&lt;&gt;"")+(TRIM(AF5&amp;"")&lt;&gt;"")+(TRIM(AH5&amp;"")&lt;&gt;"")+(TRIM(AJ5&amp;"")&lt;&gt;"")+(TRIM(AL5&amp;"")&lt;&gt;""))=0,"",IF(AND(((IFERROR(VALUE(AD5&amp;""),0)+IFERROR(VALUE(AF5&amp;""),0)+IFERROR(VALUE(AH5&amp;""),0)+IFERROR(VALUE(AJ5&amp;""),0)+IFERROR(VALUE(AL5&amp;""),0))/500*100)&gt;=80,((IFERROR(VALUE(AD5&amp;""),0)+IFERROR(VALUE(AF5&amp;""),0)+IFERROR(VALUE(AH5&amp;""),0)+IFERROR(VALUE(AJ5&amp;""),0)+IFERROR(VALUE(AL5&amp;""),0))/500*100)&lt;=100),"EXCELLENT","")&amp;IF(AND(((IFERROR(VALUE(AD5&amp;""),0)+IFERROR(VALUE(AF5&amp;""),0)+IFERROR(VALUE(AH5&amp;""),0)+IFERROR(VALUE(AJ5&amp;""),0)+IFERROR(VALUE(AL5&amp;""),0))/500*100)&gt;=60,((IFERROR(VALUE(AD5&amp;""),0)+IFERROR(VALUE(AF5&amp;""),0)+IFERROR(VALUE(AH5&amp;""),0)+IFERROR(VALUE(AJ5&amp;""),0)+IFERROR(VALUE(AL5&amp;""),0))/500*100)&lt;=79.99),"GOOD","")&amp;IF(AND(((IFERROR(VALUE(AD5&amp;""),0)+IFERROR(VALUE(AF5&amp;""),0)+IFERROR(VALUE(AH5&amp;""),0)+IFERROR(VALUE(AJ5&amp;""),0)+IFERROR(VALUE(AL5&amp;""),0))/500*100)&gt;=40,((IFERROR(VALUE(AD5&amp;""),0)+IFERROR(VALUE(AF5&amp;""),0)+IFERROR(VALUE(AH5&amp;""),0)+IFERROR(VALUE(AJ5&amp;""),0)+IFERROR(VALUE(AL5&amp;""),0))/500*100)&lt;=59.99),"AVERAGE","")&amp;IF(AND(((IFERROR(VALUE(AD5&amp;""),0)+IFERROR(VALUE(AF5&amp;""),0)+IFERROR(VALUE(AH5&amp;""),0)+IFERROR(VALUE(AJ5&amp;""),0)+IFERROR(VALUE(AL5&amp;""),0))/500*100)&gt;=0,((IFERROR(VALUE(AD5&amp;""),0)+IFERROR(VALUE(AF5&amp;""),0)+IFERROR(VALUE(AH5&amp;""),0)+IFERROR(VALUE(AJ5&amp;""),0)+IFERROR(VALUE(AL5&amp;""),0))/500*100)&lt;=39.99),"NEEDS SUPPORT",""))</f>
        <v/>
      </c>
      <c r="AO5" s="10" t="s">
        <v>100</v>
      </c>
      <c r="AP5" s="10" t="s">
        <v>101</v>
      </c>
      <c r="AQ5" s="10" t="s">
        <v>95</v>
      </c>
    </row>
    <row r="6" spans="1:43" x14ac:dyDescent="0.25">
      <c r="A6" s="10" t="s">
        <v>102</v>
      </c>
      <c r="B6" s="10" t="s">
        <v>3</v>
      </c>
      <c r="C6" s="10" t="s">
        <v>7</v>
      </c>
      <c r="D6" s="10" t="s">
        <v>103</v>
      </c>
      <c r="E6" s="10" t="s">
        <v>104</v>
      </c>
      <c r="F6" s="10" t="s">
        <v>105</v>
      </c>
      <c r="G6" s="10" t="s">
        <v>8</v>
      </c>
      <c r="H6" s="11"/>
      <c r="I6" s="13" t="str">
        <f>IF(TRIM(H6&amp;"")="","",IFERROR(IF(AND(VALUE(H6&amp;"")&gt;=0,VALUE(H6&amp;"")&lt;=39.99),"Level 1","")&amp;IF(AND(VALUE(H6&amp;"")&gt;=40,VALUE(H6&amp;"")&lt;=59.99),"Level 2","")&amp;IF(AND(VALUE(H6&amp;"")&gt;=60,VALUE(H6&amp;"")&lt;=79.99),"Level 3","")&amp;IF(AND(VALUE(H6&amp;"")&gt;=80,VALUE(H6&amp;"")&lt;=100),"Level 4",""),""))</f>
        <v/>
      </c>
      <c r="J6" s="11"/>
      <c r="K6" s="13" t="str">
        <f>IF(TRIM(J6&amp;"")="","",IFERROR(IF(AND(VALUE(J6&amp;"")&gt;=0,VALUE(J6&amp;"")&lt;=39.99),"Level 1","")&amp;IF(AND(VALUE(J6&amp;"")&gt;=40,VALUE(J6&amp;"")&lt;=59.99),"Level 2","")&amp;IF(AND(VALUE(J6&amp;"")&gt;=60,VALUE(J6&amp;"")&lt;=79.99),"Level 3","")&amp;IF(AND(VALUE(J6&amp;"")&gt;=80,VALUE(J6&amp;"")&lt;=100),"Level 4",""),""))</f>
        <v/>
      </c>
      <c r="L6" s="11"/>
      <c r="M6" s="13" t="str">
        <f>IF(TRIM(L6&amp;"")="","",IFERROR(IF(AND(VALUE(L6&amp;"")&gt;=0,VALUE(L6&amp;"")&lt;=39.99),"Level 1","")&amp;IF(AND(VALUE(L6&amp;"")&gt;=40,VALUE(L6&amp;"")&lt;=59.99),"Level 2","")&amp;IF(AND(VALUE(L6&amp;"")&gt;=60,VALUE(L6&amp;"")&lt;=79.99),"Level 3","")&amp;IF(AND(VALUE(L6&amp;"")&gt;=80,VALUE(L6&amp;"")&lt;=100),"Level 4",""),""))</f>
        <v/>
      </c>
      <c r="N6" s="11"/>
      <c r="O6" s="13" t="str">
        <f>IF(TRIM(N6&amp;"")="","",IFERROR(IF(AND(VALUE(N6&amp;"")&gt;=0,VALUE(N6&amp;"")&lt;=39.99),"Level 1","")&amp;IF(AND(VALUE(N6&amp;"")&gt;=40,VALUE(N6&amp;"")&lt;=59.99),"Level 2","")&amp;IF(AND(VALUE(N6&amp;"")&gt;=60,VALUE(N6&amp;"")&lt;=79.99),"Level 3","")&amp;IF(AND(VALUE(N6&amp;"")&gt;=80,VALUE(N6&amp;"")&lt;=100),"Level 4",""),""))</f>
        <v/>
      </c>
      <c r="P6" s="11"/>
      <c r="Q6" s="13" t="str">
        <f>IF(TRIM(P6&amp;"")="","",IFERROR(IF(AND(VALUE(P6&amp;"")&gt;=0,VALUE(P6&amp;"")&lt;=39.99),"Level 1","")&amp;IF(AND(VALUE(P6&amp;"")&gt;=40,VALUE(P6&amp;"")&lt;=59.99),"Level 2","")&amp;IF(AND(VALUE(P6&amp;"")&gt;=60,VALUE(P6&amp;"")&lt;=79.99),"Level 3","")&amp;IF(AND(VALUE(P6&amp;"")&gt;=80,VALUE(P6&amp;"")&lt;=100),"Level 4",""),""))</f>
        <v/>
      </c>
      <c r="R6" s="13" t="str">
        <f>IF(((TRIM(H6&amp;"")&lt;&gt;"")+(TRIM(J6&amp;"")&lt;&gt;"")+(TRIM(L6&amp;"")&lt;&gt;"")+(TRIM(N6&amp;"")&lt;&gt;"")+(TRIM(P6&amp;"")&lt;&gt;""))=0,"",IF(AND(((IFERROR(VALUE(H6&amp;""),0)+IFERROR(VALUE(J6&amp;""),0)+IFERROR(VALUE(L6&amp;""),0)+IFERROR(VALUE(N6&amp;""),0)+IFERROR(VALUE(P6&amp;""),0))/500*100)&gt;=80,((IFERROR(VALUE(H6&amp;""),0)+IFERROR(VALUE(J6&amp;""),0)+IFERROR(VALUE(L6&amp;""),0)+IFERROR(VALUE(N6&amp;""),0)+IFERROR(VALUE(P6&amp;""),0))/500*100)&lt;=100),"EXCELLENT","")&amp;IF(AND(((IFERROR(VALUE(H6&amp;""),0)+IFERROR(VALUE(J6&amp;""),0)+IFERROR(VALUE(L6&amp;""),0)+IFERROR(VALUE(N6&amp;""),0)+IFERROR(VALUE(P6&amp;""),0))/500*100)&gt;=60,((IFERROR(VALUE(H6&amp;""),0)+IFERROR(VALUE(J6&amp;""),0)+IFERROR(VALUE(L6&amp;""),0)+IFERROR(VALUE(N6&amp;""),0)+IFERROR(VALUE(P6&amp;""),0))/500*100)&lt;=79.99),"GOOD","")&amp;IF(AND(((IFERROR(VALUE(H6&amp;""),0)+IFERROR(VALUE(J6&amp;""),0)+IFERROR(VALUE(L6&amp;""),0)+IFERROR(VALUE(N6&amp;""),0)+IFERROR(VALUE(P6&amp;""),0))/500*100)&gt;=40,((IFERROR(VALUE(H6&amp;""),0)+IFERROR(VALUE(J6&amp;""),0)+IFERROR(VALUE(L6&amp;""),0)+IFERROR(VALUE(N6&amp;""),0)+IFERROR(VALUE(P6&amp;""),0))/500*100)&lt;=59.99),"AVERAGE","")&amp;IF(AND(((IFERROR(VALUE(H6&amp;""),0)+IFERROR(VALUE(J6&amp;""),0)+IFERROR(VALUE(L6&amp;""),0)+IFERROR(VALUE(N6&amp;""),0)+IFERROR(VALUE(P6&amp;""),0))/500*100)&gt;=0,((IFERROR(VALUE(H6&amp;""),0)+IFERROR(VALUE(J6&amp;""),0)+IFERROR(VALUE(L6&amp;""),0)+IFERROR(VALUE(N6&amp;""),0)+IFERROR(VALUE(P6&amp;""),0))/500*100)&lt;=39.99),"NEEDS SUPPORT",""))</f>
        <v/>
      </c>
      <c r="S6" s="11"/>
      <c r="T6" s="13" t="str">
        <f>IF(TRIM(S6&amp;"")="","",IFERROR(IF(AND(VALUE(S6&amp;"")&gt;=0,VALUE(S6&amp;"")&lt;=39.99),"Level 1","")&amp;IF(AND(VALUE(S6&amp;"")&gt;=40,VALUE(S6&amp;"")&lt;=59.99),"Level 2","")&amp;IF(AND(VALUE(S6&amp;"")&gt;=60,VALUE(S6&amp;"")&lt;=79.99),"Level 3","")&amp;IF(AND(VALUE(S6&amp;"")&gt;=80,VALUE(S6&amp;"")&lt;=100),"Level 4",""),""))</f>
        <v/>
      </c>
      <c r="U6" s="11"/>
      <c r="V6" s="13" t="str">
        <f>IF(TRIM(U6&amp;"")="","",IFERROR(IF(AND(VALUE(U6&amp;"")&gt;=0,VALUE(U6&amp;"")&lt;=39.99),"Level 1","")&amp;IF(AND(VALUE(U6&amp;"")&gt;=40,VALUE(U6&amp;"")&lt;=59.99),"Level 2","")&amp;IF(AND(VALUE(U6&amp;"")&gt;=60,VALUE(U6&amp;"")&lt;=79.99),"Level 3","")&amp;IF(AND(VALUE(U6&amp;"")&gt;=80,VALUE(U6&amp;"")&lt;=100),"Level 4",""),""))</f>
        <v/>
      </c>
      <c r="W6" s="11"/>
      <c r="X6" s="13" t="str">
        <f>IF(TRIM(W6&amp;"")="","",IFERROR(IF(AND(VALUE(W6&amp;"")&gt;=0,VALUE(W6&amp;"")&lt;=39.99),"Level 1","")&amp;IF(AND(VALUE(W6&amp;"")&gt;=40,VALUE(W6&amp;"")&lt;=59.99),"Level 2","")&amp;IF(AND(VALUE(W6&amp;"")&gt;=60,VALUE(W6&amp;"")&lt;=79.99),"Level 3","")&amp;IF(AND(VALUE(W6&amp;"")&gt;=80,VALUE(W6&amp;"")&lt;=100),"Level 4",""),""))</f>
        <v/>
      </c>
      <c r="Y6" s="11"/>
      <c r="Z6" s="13" t="str">
        <f>IF(TRIM(Y6&amp;"")="","",IFERROR(IF(AND(VALUE(Y6&amp;"")&gt;=0,VALUE(Y6&amp;"")&lt;=39.99),"Level 1","")&amp;IF(AND(VALUE(Y6&amp;"")&gt;=40,VALUE(Y6&amp;"")&lt;=59.99),"Level 2","")&amp;IF(AND(VALUE(Y6&amp;"")&gt;=60,VALUE(Y6&amp;"")&lt;=79.99),"Level 3","")&amp;IF(AND(VALUE(Y6&amp;"")&gt;=80,VALUE(Y6&amp;"")&lt;=100),"Level 4",""),""))</f>
        <v/>
      </c>
      <c r="AA6" s="11"/>
      <c r="AB6" s="13" t="str">
        <f>IF(TRIM(AA6&amp;"")="","",IFERROR(IF(AND(VALUE(AA6&amp;"")&gt;=0,VALUE(AA6&amp;"")&lt;=39.99),"Level 1","")&amp;IF(AND(VALUE(AA6&amp;"")&gt;=40,VALUE(AA6&amp;"")&lt;=59.99),"Level 2","")&amp;IF(AND(VALUE(AA6&amp;"")&gt;=60,VALUE(AA6&amp;"")&lt;=79.99),"Level 3","")&amp;IF(AND(VALUE(AA6&amp;"")&gt;=80,VALUE(AA6&amp;"")&lt;=100),"Level 4",""),""))</f>
        <v/>
      </c>
      <c r="AC6" s="13" t="str">
        <f>IF(((TRIM(S6&amp;"")&lt;&gt;"")+(TRIM(U6&amp;"")&lt;&gt;"")+(TRIM(W6&amp;"")&lt;&gt;"")+(TRIM(Y6&amp;"")&lt;&gt;"")+(TRIM(AA6&amp;"")&lt;&gt;""))=0,"",IF(AND(((IFERROR(VALUE(S6&amp;""),0)+IFERROR(VALUE(U6&amp;""),0)+IFERROR(VALUE(W6&amp;""),0)+IFERROR(VALUE(Y6&amp;""),0)+IFERROR(VALUE(AA6&amp;""),0))/500*100)&gt;=80,((IFERROR(VALUE(S6&amp;""),0)+IFERROR(VALUE(U6&amp;""),0)+IFERROR(VALUE(W6&amp;""),0)+IFERROR(VALUE(Y6&amp;""),0)+IFERROR(VALUE(AA6&amp;""),0))/500*100)&lt;=100),"EXCELLENT","")&amp;IF(AND(((IFERROR(VALUE(S6&amp;""),0)+IFERROR(VALUE(U6&amp;""),0)+IFERROR(VALUE(W6&amp;""),0)+IFERROR(VALUE(Y6&amp;""),0)+IFERROR(VALUE(AA6&amp;""),0))/500*100)&gt;=60,((IFERROR(VALUE(S6&amp;""),0)+IFERROR(VALUE(U6&amp;""),0)+IFERROR(VALUE(W6&amp;""),0)+IFERROR(VALUE(Y6&amp;""),0)+IFERROR(VALUE(AA6&amp;""),0))/500*100)&lt;=79.99),"GOOD","")&amp;IF(AND(((IFERROR(VALUE(S6&amp;""),0)+IFERROR(VALUE(U6&amp;""),0)+IFERROR(VALUE(W6&amp;""),0)+IFERROR(VALUE(Y6&amp;""),0)+IFERROR(VALUE(AA6&amp;""),0))/500*100)&gt;=40,((IFERROR(VALUE(S6&amp;""),0)+IFERROR(VALUE(U6&amp;""),0)+IFERROR(VALUE(W6&amp;""),0)+IFERROR(VALUE(Y6&amp;""),0)+IFERROR(VALUE(AA6&amp;""),0))/500*100)&lt;=59.99),"AVERAGE","")&amp;IF(AND(((IFERROR(VALUE(S6&amp;""),0)+IFERROR(VALUE(U6&amp;""),0)+IFERROR(VALUE(W6&amp;""),0)+IFERROR(VALUE(Y6&amp;""),0)+IFERROR(VALUE(AA6&amp;""),0))/500*100)&gt;=0,((IFERROR(VALUE(S6&amp;""),0)+IFERROR(VALUE(U6&amp;""),0)+IFERROR(VALUE(W6&amp;""),0)+IFERROR(VALUE(Y6&amp;""),0)+IFERROR(VALUE(AA6&amp;""),0))/500*100)&lt;=39.99),"NEEDS SUPPORT",""))</f>
        <v/>
      </c>
      <c r="AD6" s="11"/>
      <c r="AE6" s="13" t="str">
        <f>IF(TRIM(AD6&amp;"")="","",IFERROR(IF(AND(VALUE(AD6&amp;"")&gt;=0,VALUE(AD6&amp;"")&lt;=39.99),"Level 1","")&amp;IF(AND(VALUE(AD6&amp;"")&gt;=40,VALUE(AD6&amp;"")&lt;=59.99),"Level 2","")&amp;IF(AND(VALUE(AD6&amp;"")&gt;=60,VALUE(AD6&amp;"")&lt;=79.99),"Level 3","")&amp;IF(AND(VALUE(AD6&amp;"")&gt;=80,VALUE(AD6&amp;"")&lt;=100),"Level 4",""),""))</f>
        <v/>
      </c>
      <c r="AF6" s="11"/>
      <c r="AG6" s="13" t="str">
        <f>IF(TRIM(AF6&amp;"")="","",IFERROR(IF(AND(VALUE(AF6&amp;"")&gt;=0,VALUE(AF6&amp;"")&lt;=39.99),"Level 1","")&amp;IF(AND(VALUE(AF6&amp;"")&gt;=40,VALUE(AF6&amp;"")&lt;=59.99),"Level 2","")&amp;IF(AND(VALUE(AF6&amp;"")&gt;=60,VALUE(AF6&amp;"")&lt;=79.99),"Level 3","")&amp;IF(AND(VALUE(AF6&amp;"")&gt;=80,VALUE(AF6&amp;"")&lt;=100),"Level 4",""),""))</f>
        <v/>
      </c>
      <c r="AH6" s="11"/>
      <c r="AI6" s="13" t="str">
        <f>IF(TRIM(AH6&amp;"")="","",IFERROR(IF(AND(VALUE(AH6&amp;"")&gt;=0,VALUE(AH6&amp;"")&lt;=39.99),"Level 1","")&amp;IF(AND(VALUE(AH6&amp;"")&gt;=40,VALUE(AH6&amp;"")&lt;=59.99),"Level 2","")&amp;IF(AND(VALUE(AH6&amp;"")&gt;=60,VALUE(AH6&amp;"")&lt;=79.99),"Level 3","")&amp;IF(AND(VALUE(AH6&amp;"")&gt;=80,VALUE(AH6&amp;"")&lt;=100),"Level 4",""),""))</f>
        <v/>
      </c>
      <c r="AJ6" s="11"/>
      <c r="AK6" s="13" t="str">
        <f>IF(TRIM(AJ6&amp;"")="","",IFERROR(IF(AND(VALUE(AJ6&amp;"")&gt;=0,VALUE(AJ6&amp;"")&lt;=39.99),"Level 1","")&amp;IF(AND(VALUE(AJ6&amp;"")&gt;=40,VALUE(AJ6&amp;"")&lt;=59.99),"Level 2","")&amp;IF(AND(VALUE(AJ6&amp;"")&gt;=60,VALUE(AJ6&amp;"")&lt;=79.99),"Level 3","")&amp;IF(AND(VALUE(AJ6&amp;"")&gt;=80,VALUE(AJ6&amp;"")&lt;=100),"Level 4",""),""))</f>
        <v/>
      </c>
      <c r="AL6" s="11"/>
      <c r="AM6" s="13" t="str">
        <f>IF(TRIM(AL6&amp;"")="","",IFERROR(IF(AND(VALUE(AL6&amp;"")&gt;=0,VALUE(AL6&amp;"")&lt;=39.99),"Level 1","")&amp;IF(AND(VALUE(AL6&amp;"")&gt;=40,VALUE(AL6&amp;"")&lt;=59.99),"Level 2","")&amp;IF(AND(VALUE(AL6&amp;"")&gt;=60,VALUE(AL6&amp;"")&lt;=79.99),"Level 3","")&amp;IF(AND(VALUE(AL6&amp;"")&gt;=80,VALUE(AL6&amp;"")&lt;=100),"Level 4",""),""))</f>
        <v/>
      </c>
      <c r="AN6" s="13" t="str">
        <f>IF(((TRIM(AD6&amp;"")&lt;&gt;"")+(TRIM(AF6&amp;"")&lt;&gt;"")+(TRIM(AH6&amp;"")&lt;&gt;"")+(TRIM(AJ6&amp;"")&lt;&gt;"")+(TRIM(AL6&amp;"")&lt;&gt;""))=0,"",IF(AND(((IFERROR(VALUE(AD6&amp;""),0)+IFERROR(VALUE(AF6&amp;""),0)+IFERROR(VALUE(AH6&amp;""),0)+IFERROR(VALUE(AJ6&amp;""),0)+IFERROR(VALUE(AL6&amp;""),0))/500*100)&gt;=80,((IFERROR(VALUE(AD6&amp;""),0)+IFERROR(VALUE(AF6&amp;""),0)+IFERROR(VALUE(AH6&amp;""),0)+IFERROR(VALUE(AJ6&amp;""),0)+IFERROR(VALUE(AL6&amp;""),0))/500*100)&lt;=100),"EXCELLENT","")&amp;IF(AND(((IFERROR(VALUE(AD6&amp;""),0)+IFERROR(VALUE(AF6&amp;""),0)+IFERROR(VALUE(AH6&amp;""),0)+IFERROR(VALUE(AJ6&amp;""),0)+IFERROR(VALUE(AL6&amp;""),0))/500*100)&gt;=60,((IFERROR(VALUE(AD6&amp;""),0)+IFERROR(VALUE(AF6&amp;""),0)+IFERROR(VALUE(AH6&amp;""),0)+IFERROR(VALUE(AJ6&amp;""),0)+IFERROR(VALUE(AL6&amp;""),0))/500*100)&lt;=79.99),"GOOD","")&amp;IF(AND(((IFERROR(VALUE(AD6&amp;""),0)+IFERROR(VALUE(AF6&amp;""),0)+IFERROR(VALUE(AH6&amp;""),0)+IFERROR(VALUE(AJ6&amp;""),0)+IFERROR(VALUE(AL6&amp;""),0))/500*100)&gt;=40,((IFERROR(VALUE(AD6&amp;""),0)+IFERROR(VALUE(AF6&amp;""),0)+IFERROR(VALUE(AH6&amp;""),0)+IFERROR(VALUE(AJ6&amp;""),0)+IFERROR(VALUE(AL6&amp;""),0))/500*100)&lt;=59.99),"AVERAGE","")&amp;IF(AND(((IFERROR(VALUE(AD6&amp;""),0)+IFERROR(VALUE(AF6&amp;""),0)+IFERROR(VALUE(AH6&amp;""),0)+IFERROR(VALUE(AJ6&amp;""),0)+IFERROR(VALUE(AL6&amp;""),0))/500*100)&gt;=0,((IFERROR(VALUE(AD6&amp;""),0)+IFERROR(VALUE(AF6&amp;""),0)+IFERROR(VALUE(AH6&amp;""),0)+IFERROR(VALUE(AJ6&amp;""),0)+IFERROR(VALUE(AL6&amp;""),0))/500*100)&lt;=39.99),"NEEDS SUPPORT",""))</f>
        <v/>
      </c>
      <c r="AO6" s="10" t="s">
        <v>106</v>
      </c>
      <c r="AP6" s="10" t="s">
        <v>107</v>
      </c>
      <c r="AQ6" s="10" t="s">
        <v>95</v>
      </c>
    </row>
    <row r="7" spans="1:43" x14ac:dyDescent="0.25">
      <c r="A7" s="10" t="s">
        <v>108</v>
      </c>
      <c r="B7" s="10" t="s">
        <v>3</v>
      </c>
      <c r="C7" s="10" t="s">
        <v>7</v>
      </c>
      <c r="D7" s="10" t="s">
        <v>109</v>
      </c>
      <c r="E7" s="10" t="s">
        <v>110</v>
      </c>
      <c r="F7" s="10" t="s">
        <v>111</v>
      </c>
      <c r="G7" s="10" t="s">
        <v>5</v>
      </c>
      <c r="H7" s="11"/>
      <c r="I7" s="13" t="str">
        <f>IF(TRIM(H7&amp;"")="","",IFERROR(IF(AND(VALUE(H7&amp;"")&gt;=0,VALUE(H7&amp;"")&lt;=39.99),"Level 1","")&amp;IF(AND(VALUE(H7&amp;"")&gt;=40,VALUE(H7&amp;"")&lt;=59.99),"Level 2","")&amp;IF(AND(VALUE(H7&amp;"")&gt;=60,VALUE(H7&amp;"")&lt;=79.99),"Level 3","")&amp;IF(AND(VALUE(H7&amp;"")&gt;=80,VALUE(H7&amp;"")&lt;=100),"Level 4",""),""))</f>
        <v/>
      </c>
      <c r="J7" s="11"/>
      <c r="K7" s="13" t="str">
        <f>IF(TRIM(J7&amp;"")="","",IFERROR(IF(AND(VALUE(J7&amp;"")&gt;=0,VALUE(J7&amp;"")&lt;=39.99),"Level 1","")&amp;IF(AND(VALUE(J7&amp;"")&gt;=40,VALUE(J7&amp;"")&lt;=59.99),"Level 2","")&amp;IF(AND(VALUE(J7&amp;"")&gt;=60,VALUE(J7&amp;"")&lt;=79.99),"Level 3","")&amp;IF(AND(VALUE(J7&amp;"")&gt;=80,VALUE(J7&amp;"")&lt;=100),"Level 4",""),""))</f>
        <v/>
      </c>
      <c r="L7" s="11"/>
      <c r="M7" s="13" t="str">
        <f>IF(TRIM(L7&amp;"")="","",IFERROR(IF(AND(VALUE(L7&amp;"")&gt;=0,VALUE(L7&amp;"")&lt;=39.99),"Level 1","")&amp;IF(AND(VALUE(L7&amp;"")&gt;=40,VALUE(L7&amp;"")&lt;=59.99),"Level 2","")&amp;IF(AND(VALUE(L7&amp;"")&gt;=60,VALUE(L7&amp;"")&lt;=79.99),"Level 3","")&amp;IF(AND(VALUE(L7&amp;"")&gt;=80,VALUE(L7&amp;"")&lt;=100),"Level 4",""),""))</f>
        <v/>
      </c>
      <c r="N7" s="11"/>
      <c r="O7" s="13" t="str">
        <f>IF(TRIM(N7&amp;"")="","",IFERROR(IF(AND(VALUE(N7&amp;"")&gt;=0,VALUE(N7&amp;"")&lt;=39.99),"Level 1","")&amp;IF(AND(VALUE(N7&amp;"")&gt;=40,VALUE(N7&amp;"")&lt;=59.99),"Level 2","")&amp;IF(AND(VALUE(N7&amp;"")&gt;=60,VALUE(N7&amp;"")&lt;=79.99),"Level 3","")&amp;IF(AND(VALUE(N7&amp;"")&gt;=80,VALUE(N7&amp;"")&lt;=100),"Level 4",""),""))</f>
        <v/>
      </c>
      <c r="P7" s="11"/>
      <c r="Q7" s="13" t="str">
        <f>IF(TRIM(P7&amp;"")="","",IFERROR(IF(AND(VALUE(P7&amp;"")&gt;=0,VALUE(P7&amp;"")&lt;=39.99),"Level 1","")&amp;IF(AND(VALUE(P7&amp;"")&gt;=40,VALUE(P7&amp;"")&lt;=59.99),"Level 2","")&amp;IF(AND(VALUE(P7&amp;"")&gt;=60,VALUE(P7&amp;"")&lt;=79.99),"Level 3","")&amp;IF(AND(VALUE(P7&amp;"")&gt;=80,VALUE(P7&amp;"")&lt;=100),"Level 4",""),""))</f>
        <v/>
      </c>
      <c r="R7" s="13" t="str">
        <f>IF(((TRIM(H7&amp;"")&lt;&gt;"")+(TRIM(J7&amp;"")&lt;&gt;"")+(TRIM(L7&amp;"")&lt;&gt;"")+(TRIM(N7&amp;"")&lt;&gt;"")+(TRIM(P7&amp;"")&lt;&gt;""))=0,"",IF(AND(((IFERROR(VALUE(H7&amp;""),0)+IFERROR(VALUE(J7&amp;""),0)+IFERROR(VALUE(L7&amp;""),0)+IFERROR(VALUE(N7&amp;""),0)+IFERROR(VALUE(P7&amp;""),0))/500*100)&gt;=80,((IFERROR(VALUE(H7&amp;""),0)+IFERROR(VALUE(J7&amp;""),0)+IFERROR(VALUE(L7&amp;""),0)+IFERROR(VALUE(N7&amp;""),0)+IFERROR(VALUE(P7&amp;""),0))/500*100)&lt;=100),"EXCELLENT","")&amp;IF(AND(((IFERROR(VALUE(H7&amp;""),0)+IFERROR(VALUE(J7&amp;""),0)+IFERROR(VALUE(L7&amp;""),0)+IFERROR(VALUE(N7&amp;""),0)+IFERROR(VALUE(P7&amp;""),0))/500*100)&gt;=60,((IFERROR(VALUE(H7&amp;""),0)+IFERROR(VALUE(J7&amp;""),0)+IFERROR(VALUE(L7&amp;""),0)+IFERROR(VALUE(N7&amp;""),0)+IFERROR(VALUE(P7&amp;""),0))/500*100)&lt;=79.99),"GOOD","")&amp;IF(AND(((IFERROR(VALUE(H7&amp;""),0)+IFERROR(VALUE(J7&amp;""),0)+IFERROR(VALUE(L7&amp;""),0)+IFERROR(VALUE(N7&amp;""),0)+IFERROR(VALUE(P7&amp;""),0))/500*100)&gt;=40,((IFERROR(VALUE(H7&amp;""),0)+IFERROR(VALUE(J7&amp;""),0)+IFERROR(VALUE(L7&amp;""),0)+IFERROR(VALUE(N7&amp;""),0)+IFERROR(VALUE(P7&amp;""),0))/500*100)&lt;=59.99),"AVERAGE","")&amp;IF(AND(((IFERROR(VALUE(H7&amp;""),0)+IFERROR(VALUE(J7&amp;""),0)+IFERROR(VALUE(L7&amp;""),0)+IFERROR(VALUE(N7&amp;""),0)+IFERROR(VALUE(P7&amp;""),0))/500*100)&gt;=0,((IFERROR(VALUE(H7&amp;""),0)+IFERROR(VALUE(J7&amp;""),0)+IFERROR(VALUE(L7&amp;""),0)+IFERROR(VALUE(N7&amp;""),0)+IFERROR(VALUE(P7&amp;""),0))/500*100)&lt;=39.99),"NEEDS SUPPORT",""))</f>
        <v/>
      </c>
      <c r="S7" s="11"/>
      <c r="T7" s="13" t="str">
        <f>IF(TRIM(S7&amp;"")="","",IFERROR(IF(AND(VALUE(S7&amp;"")&gt;=0,VALUE(S7&amp;"")&lt;=39.99),"Level 1","")&amp;IF(AND(VALUE(S7&amp;"")&gt;=40,VALUE(S7&amp;"")&lt;=59.99),"Level 2","")&amp;IF(AND(VALUE(S7&amp;"")&gt;=60,VALUE(S7&amp;"")&lt;=79.99),"Level 3","")&amp;IF(AND(VALUE(S7&amp;"")&gt;=80,VALUE(S7&amp;"")&lt;=100),"Level 4",""),""))</f>
        <v/>
      </c>
      <c r="U7" s="11"/>
      <c r="V7" s="13" t="str">
        <f>IF(TRIM(U7&amp;"")="","",IFERROR(IF(AND(VALUE(U7&amp;"")&gt;=0,VALUE(U7&amp;"")&lt;=39.99),"Level 1","")&amp;IF(AND(VALUE(U7&amp;"")&gt;=40,VALUE(U7&amp;"")&lt;=59.99),"Level 2","")&amp;IF(AND(VALUE(U7&amp;"")&gt;=60,VALUE(U7&amp;"")&lt;=79.99),"Level 3","")&amp;IF(AND(VALUE(U7&amp;"")&gt;=80,VALUE(U7&amp;"")&lt;=100),"Level 4",""),""))</f>
        <v/>
      </c>
      <c r="W7" s="11"/>
      <c r="X7" s="13" t="str">
        <f>IF(TRIM(W7&amp;"")="","",IFERROR(IF(AND(VALUE(W7&amp;"")&gt;=0,VALUE(W7&amp;"")&lt;=39.99),"Level 1","")&amp;IF(AND(VALUE(W7&amp;"")&gt;=40,VALUE(W7&amp;"")&lt;=59.99),"Level 2","")&amp;IF(AND(VALUE(W7&amp;"")&gt;=60,VALUE(W7&amp;"")&lt;=79.99),"Level 3","")&amp;IF(AND(VALUE(W7&amp;"")&gt;=80,VALUE(W7&amp;"")&lt;=100),"Level 4",""),""))</f>
        <v/>
      </c>
      <c r="Y7" s="11"/>
      <c r="Z7" s="13" t="str">
        <f>IF(TRIM(Y7&amp;"")="","",IFERROR(IF(AND(VALUE(Y7&amp;"")&gt;=0,VALUE(Y7&amp;"")&lt;=39.99),"Level 1","")&amp;IF(AND(VALUE(Y7&amp;"")&gt;=40,VALUE(Y7&amp;"")&lt;=59.99),"Level 2","")&amp;IF(AND(VALUE(Y7&amp;"")&gt;=60,VALUE(Y7&amp;"")&lt;=79.99),"Level 3","")&amp;IF(AND(VALUE(Y7&amp;"")&gt;=80,VALUE(Y7&amp;"")&lt;=100),"Level 4",""),""))</f>
        <v/>
      </c>
      <c r="AA7" s="11"/>
      <c r="AB7" s="13" t="str">
        <f>IF(TRIM(AA7&amp;"")="","",IFERROR(IF(AND(VALUE(AA7&amp;"")&gt;=0,VALUE(AA7&amp;"")&lt;=39.99),"Level 1","")&amp;IF(AND(VALUE(AA7&amp;"")&gt;=40,VALUE(AA7&amp;"")&lt;=59.99),"Level 2","")&amp;IF(AND(VALUE(AA7&amp;"")&gt;=60,VALUE(AA7&amp;"")&lt;=79.99),"Level 3","")&amp;IF(AND(VALUE(AA7&amp;"")&gt;=80,VALUE(AA7&amp;"")&lt;=100),"Level 4",""),""))</f>
        <v/>
      </c>
      <c r="AC7" s="13" t="str">
        <f>IF(((TRIM(S7&amp;"")&lt;&gt;"")+(TRIM(U7&amp;"")&lt;&gt;"")+(TRIM(W7&amp;"")&lt;&gt;"")+(TRIM(Y7&amp;"")&lt;&gt;"")+(TRIM(AA7&amp;"")&lt;&gt;""))=0,"",IF(AND(((IFERROR(VALUE(S7&amp;""),0)+IFERROR(VALUE(U7&amp;""),0)+IFERROR(VALUE(W7&amp;""),0)+IFERROR(VALUE(Y7&amp;""),0)+IFERROR(VALUE(AA7&amp;""),0))/500*100)&gt;=80,((IFERROR(VALUE(S7&amp;""),0)+IFERROR(VALUE(U7&amp;""),0)+IFERROR(VALUE(W7&amp;""),0)+IFERROR(VALUE(Y7&amp;""),0)+IFERROR(VALUE(AA7&amp;""),0))/500*100)&lt;=100),"EXCELLENT","")&amp;IF(AND(((IFERROR(VALUE(S7&amp;""),0)+IFERROR(VALUE(U7&amp;""),0)+IFERROR(VALUE(W7&amp;""),0)+IFERROR(VALUE(Y7&amp;""),0)+IFERROR(VALUE(AA7&amp;""),0))/500*100)&gt;=60,((IFERROR(VALUE(S7&amp;""),0)+IFERROR(VALUE(U7&amp;""),0)+IFERROR(VALUE(W7&amp;""),0)+IFERROR(VALUE(Y7&amp;""),0)+IFERROR(VALUE(AA7&amp;""),0))/500*100)&lt;=79.99),"GOOD","")&amp;IF(AND(((IFERROR(VALUE(S7&amp;""),0)+IFERROR(VALUE(U7&amp;""),0)+IFERROR(VALUE(W7&amp;""),0)+IFERROR(VALUE(Y7&amp;""),0)+IFERROR(VALUE(AA7&amp;""),0))/500*100)&gt;=40,((IFERROR(VALUE(S7&amp;""),0)+IFERROR(VALUE(U7&amp;""),0)+IFERROR(VALUE(W7&amp;""),0)+IFERROR(VALUE(Y7&amp;""),0)+IFERROR(VALUE(AA7&amp;""),0))/500*100)&lt;=59.99),"AVERAGE","")&amp;IF(AND(((IFERROR(VALUE(S7&amp;""),0)+IFERROR(VALUE(U7&amp;""),0)+IFERROR(VALUE(W7&amp;""),0)+IFERROR(VALUE(Y7&amp;""),0)+IFERROR(VALUE(AA7&amp;""),0))/500*100)&gt;=0,((IFERROR(VALUE(S7&amp;""),0)+IFERROR(VALUE(U7&amp;""),0)+IFERROR(VALUE(W7&amp;""),0)+IFERROR(VALUE(Y7&amp;""),0)+IFERROR(VALUE(AA7&amp;""),0))/500*100)&lt;=39.99),"NEEDS SUPPORT",""))</f>
        <v/>
      </c>
      <c r="AD7" s="11"/>
      <c r="AE7" s="13" t="str">
        <f>IF(TRIM(AD7&amp;"")="","",IFERROR(IF(AND(VALUE(AD7&amp;"")&gt;=0,VALUE(AD7&amp;"")&lt;=39.99),"Level 1","")&amp;IF(AND(VALUE(AD7&amp;"")&gt;=40,VALUE(AD7&amp;"")&lt;=59.99),"Level 2","")&amp;IF(AND(VALUE(AD7&amp;"")&gt;=60,VALUE(AD7&amp;"")&lt;=79.99),"Level 3","")&amp;IF(AND(VALUE(AD7&amp;"")&gt;=80,VALUE(AD7&amp;"")&lt;=100),"Level 4",""),""))</f>
        <v/>
      </c>
      <c r="AF7" s="11"/>
      <c r="AG7" s="13" t="str">
        <f>IF(TRIM(AF7&amp;"")="","",IFERROR(IF(AND(VALUE(AF7&amp;"")&gt;=0,VALUE(AF7&amp;"")&lt;=39.99),"Level 1","")&amp;IF(AND(VALUE(AF7&amp;"")&gt;=40,VALUE(AF7&amp;"")&lt;=59.99),"Level 2","")&amp;IF(AND(VALUE(AF7&amp;"")&gt;=60,VALUE(AF7&amp;"")&lt;=79.99),"Level 3","")&amp;IF(AND(VALUE(AF7&amp;"")&gt;=80,VALUE(AF7&amp;"")&lt;=100),"Level 4",""),""))</f>
        <v/>
      </c>
      <c r="AH7" s="11"/>
      <c r="AI7" s="13" t="str">
        <f>IF(TRIM(AH7&amp;"")="","",IFERROR(IF(AND(VALUE(AH7&amp;"")&gt;=0,VALUE(AH7&amp;"")&lt;=39.99),"Level 1","")&amp;IF(AND(VALUE(AH7&amp;"")&gt;=40,VALUE(AH7&amp;"")&lt;=59.99),"Level 2","")&amp;IF(AND(VALUE(AH7&amp;"")&gt;=60,VALUE(AH7&amp;"")&lt;=79.99),"Level 3","")&amp;IF(AND(VALUE(AH7&amp;"")&gt;=80,VALUE(AH7&amp;"")&lt;=100),"Level 4",""),""))</f>
        <v/>
      </c>
      <c r="AJ7" s="11"/>
      <c r="AK7" s="13" t="str">
        <f>IF(TRIM(AJ7&amp;"")="","",IFERROR(IF(AND(VALUE(AJ7&amp;"")&gt;=0,VALUE(AJ7&amp;"")&lt;=39.99),"Level 1","")&amp;IF(AND(VALUE(AJ7&amp;"")&gt;=40,VALUE(AJ7&amp;"")&lt;=59.99),"Level 2","")&amp;IF(AND(VALUE(AJ7&amp;"")&gt;=60,VALUE(AJ7&amp;"")&lt;=79.99),"Level 3","")&amp;IF(AND(VALUE(AJ7&amp;"")&gt;=80,VALUE(AJ7&amp;"")&lt;=100),"Level 4",""),""))</f>
        <v/>
      </c>
      <c r="AL7" s="11"/>
      <c r="AM7" s="13" t="str">
        <f>IF(TRIM(AL7&amp;"")="","",IFERROR(IF(AND(VALUE(AL7&amp;"")&gt;=0,VALUE(AL7&amp;"")&lt;=39.99),"Level 1","")&amp;IF(AND(VALUE(AL7&amp;"")&gt;=40,VALUE(AL7&amp;"")&lt;=59.99),"Level 2","")&amp;IF(AND(VALUE(AL7&amp;"")&gt;=60,VALUE(AL7&amp;"")&lt;=79.99),"Level 3","")&amp;IF(AND(VALUE(AL7&amp;"")&gt;=80,VALUE(AL7&amp;"")&lt;=100),"Level 4",""),""))</f>
        <v/>
      </c>
      <c r="AN7" s="13" t="str">
        <f>IF(((TRIM(AD7&amp;"")&lt;&gt;"")+(TRIM(AF7&amp;"")&lt;&gt;"")+(TRIM(AH7&amp;"")&lt;&gt;"")+(TRIM(AJ7&amp;"")&lt;&gt;"")+(TRIM(AL7&amp;"")&lt;&gt;""))=0,"",IF(AND(((IFERROR(VALUE(AD7&amp;""),0)+IFERROR(VALUE(AF7&amp;""),0)+IFERROR(VALUE(AH7&amp;""),0)+IFERROR(VALUE(AJ7&amp;""),0)+IFERROR(VALUE(AL7&amp;""),0))/500*100)&gt;=80,((IFERROR(VALUE(AD7&amp;""),0)+IFERROR(VALUE(AF7&amp;""),0)+IFERROR(VALUE(AH7&amp;""),0)+IFERROR(VALUE(AJ7&amp;""),0)+IFERROR(VALUE(AL7&amp;""),0))/500*100)&lt;=100),"EXCELLENT","")&amp;IF(AND(((IFERROR(VALUE(AD7&amp;""),0)+IFERROR(VALUE(AF7&amp;""),0)+IFERROR(VALUE(AH7&amp;""),0)+IFERROR(VALUE(AJ7&amp;""),0)+IFERROR(VALUE(AL7&amp;""),0))/500*100)&gt;=60,((IFERROR(VALUE(AD7&amp;""),0)+IFERROR(VALUE(AF7&amp;""),0)+IFERROR(VALUE(AH7&amp;""),0)+IFERROR(VALUE(AJ7&amp;""),0)+IFERROR(VALUE(AL7&amp;""),0))/500*100)&lt;=79.99),"GOOD","")&amp;IF(AND(((IFERROR(VALUE(AD7&amp;""),0)+IFERROR(VALUE(AF7&amp;""),0)+IFERROR(VALUE(AH7&amp;""),0)+IFERROR(VALUE(AJ7&amp;""),0)+IFERROR(VALUE(AL7&amp;""),0))/500*100)&gt;=40,((IFERROR(VALUE(AD7&amp;""),0)+IFERROR(VALUE(AF7&amp;""),0)+IFERROR(VALUE(AH7&amp;""),0)+IFERROR(VALUE(AJ7&amp;""),0)+IFERROR(VALUE(AL7&amp;""),0))/500*100)&lt;=59.99),"AVERAGE","")&amp;IF(AND(((IFERROR(VALUE(AD7&amp;""),0)+IFERROR(VALUE(AF7&amp;""),0)+IFERROR(VALUE(AH7&amp;""),0)+IFERROR(VALUE(AJ7&amp;""),0)+IFERROR(VALUE(AL7&amp;""),0))/500*100)&gt;=0,((IFERROR(VALUE(AD7&amp;""),0)+IFERROR(VALUE(AF7&amp;""),0)+IFERROR(VALUE(AH7&amp;""),0)+IFERROR(VALUE(AJ7&amp;""),0)+IFERROR(VALUE(AL7&amp;""),0))/500*100)&lt;=39.99),"NEEDS SUPPORT",""))</f>
        <v/>
      </c>
      <c r="AO7" s="10" t="s">
        <v>112</v>
      </c>
      <c r="AP7" s="10" t="s">
        <v>113</v>
      </c>
      <c r="AQ7" s="10" t="s">
        <v>95</v>
      </c>
    </row>
    <row r="8" spans="1:43" x14ac:dyDescent="0.25">
      <c r="A8" s="10" t="s">
        <v>114</v>
      </c>
      <c r="B8" s="10" t="s">
        <v>3</v>
      </c>
      <c r="C8" s="10" t="s">
        <v>7</v>
      </c>
      <c r="D8" s="10" t="s">
        <v>115</v>
      </c>
      <c r="E8" s="10" t="s">
        <v>116</v>
      </c>
      <c r="F8" s="10" t="s">
        <v>117</v>
      </c>
      <c r="G8" s="10" t="s">
        <v>5</v>
      </c>
      <c r="H8" s="11"/>
      <c r="I8" s="13" t="str">
        <f>IF(TRIM(H8&amp;"")="","",IFERROR(IF(AND(VALUE(H8&amp;"")&gt;=0,VALUE(H8&amp;"")&lt;=39.99),"Level 1","")&amp;IF(AND(VALUE(H8&amp;"")&gt;=40,VALUE(H8&amp;"")&lt;=59.99),"Level 2","")&amp;IF(AND(VALUE(H8&amp;"")&gt;=60,VALUE(H8&amp;"")&lt;=79.99),"Level 3","")&amp;IF(AND(VALUE(H8&amp;"")&gt;=80,VALUE(H8&amp;"")&lt;=100),"Level 4",""),""))</f>
        <v/>
      </c>
      <c r="J8" s="11"/>
      <c r="K8" s="13" t="str">
        <f>IF(TRIM(J8&amp;"")="","",IFERROR(IF(AND(VALUE(J8&amp;"")&gt;=0,VALUE(J8&amp;"")&lt;=39.99),"Level 1","")&amp;IF(AND(VALUE(J8&amp;"")&gt;=40,VALUE(J8&amp;"")&lt;=59.99),"Level 2","")&amp;IF(AND(VALUE(J8&amp;"")&gt;=60,VALUE(J8&amp;"")&lt;=79.99),"Level 3","")&amp;IF(AND(VALUE(J8&amp;"")&gt;=80,VALUE(J8&amp;"")&lt;=100),"Level 4",""),""))</f>
        <v/>
      </c>
      <c r="L8" s="11"/>
      <c r="M8" s="13" t="str">
        <f>IF(TRIM(L8&amp;"")="","",IFERROR(IF(AND(VALUE(L8&amp;"")&gt;=0,VALUE(L8&amp;"")&lt;=39.99),"Level 1","")&amp;IF(AND(VALUE(L8&amp;"")&gt;=40,VALUE(L8&amp;"")&lt;=59.99),"Level 2","")&amp;IF(AND(VALUE(L8&amp;"")&gt;=60,VALUE(L8&amp;"")&lt;=79.99),"Level 3","")&amp;IF(AND(VALUE(L8&amp;"")&gt;=80,VALUE(L8&amp;"")&lt;=100),"Level 4",""),""))</f>
        <v/>
      </c>
      <c r="N8" s="11"/>
      <c r="O8" s="13" t="str">
        <f>IF(TRIM(N8&amp;"")="","",IFERROR(IF(AND(VALUE(N8&amp;"")&gt;=0,VALUE(N8&amp;"")&lt;=39.99),"Level 1","")&amp;IF(AND(VALUE(N8&amp;"")&gt;=40,VALUE(N8&amp;"")&lt;=59.99),"Level 2","")&amp;IF(AND(VALUE(N8&amp;"")&gt;=60,VALUE(N8&amp;"")&lt;=79.99),"Level 3","")&amp;IF(AND(VALUE(N8&amp;"")&gt;=80,VALUE(N8&amp;"")&lt;=100),"Level 4",""),""))</f>
        <v/>
      </c>
      <c r="P8" s="11"/>
      <c r="Q8" s="13" t="str">
        <f>IF(TRIM(P8&amp;"")="","",IFERROR(IF(AND(VALUE(P8&amp;"")&gt;=0,VALUE(P8&amp;"")&lt;=39.99),"Level 1","")&amp;IF(AND(VALUE(P8&amp;"")&gt;=40,VALUE(P8&amp;"")&lt;=59.99),"Level 2","")&amp;IF(AND(VALUE(P8&amp;"")&gt;=60,VALUE(P8&amp;"")&lt;=79.99),"Level 3","")&amp;IF(AND(VALUE(P8&amp;"")&gt;=80,VALUE(P8&amp;"")&lt;=100),"Level 4",""),""))</f>
        <v/>
      </c>
      <c r="R8" s="13" t="str">
        <f>IF(((TRIM(H8&amp;"")&lt;&gt;"")+(TRIM(J8&amp;"")&lt;&gt;"")+(TRIM(L8&amp;"")&lt;&gt;"")+(TRIM(N8&amp;"")&lt;&gt;"")+(TRIM(P8&amp;"")&lt;&gt;""))=0,"",IF(AND(((IFERROR(VALUE(H8&amp;""),0)+IFERROR(VALUE(J8&amp;""),0)+IFERROR(VALUE(L8&amp;""),0)+IFERROR(VALUE(N8&amp;""),0)+IFERROR(VALUE(P8&amp;""),0))/500*100)&gt;=80,((IFERROR(VALUE(H8&amp;""),0)+IFERROR(VALUE(J8&amp;""),0)+IFERROR(VALUE(L8&amp;""),0)+IFERROR(VALUE(N8&amp;""),0)+IFERROR(VALUE(P8&amp;""),0))/500*100)&lt;=100),"EXCELLENT","")&amp;IF(AND(((IFERROR(VALUE(H8&amp;""),0)+IFERROR(VALUE(J8&amp;""),0)+IFERROR(VALUE(L8&amp;""),0)+IFERROR(VALUE(N8&amp;""),0)+IFERROR(VALUE(P8&amp;""),0))/500*100)&gt;=60,((IFERROR(VALUE(H8&amp;""),0)+IFERROR(VALUE(J8&amp;""),0)+IFERROR(VALUE(L8&amp;""),0)+IFERROR(VALUE(N8&amp;""),0)+IFERROR(VALUE(P8&amp;""),0))/500*100)&lt;=79.99),"GOOD","")&amp;IF(AND(((IFERROR(VALUE(H8&amp;""),0)+IFERROR(VALUE(J8&amp;""),0)+IFERROR(VALUE(L8&amp;""),0)+IFERROR(VALUE(N8&amp;""),0)+IFERROR(VALUE(P8&amp;""),0))/500*100)&gt;=40,((IFERROR(VALUE(H8&amp;""),0)+IFERROR(VALUE(J8&amp;""),0)+IFERROR(VALUE(L8&amp;""),0)+IFERROR(VALUE(N8&amp;""),0)+IFERROR(VALUE(P8&amp;""),0))/500*100)&lt;=59.99),"AVERAGE","")&amp;IF(AND(((IFERROR(VALUE(H8&amp;""),0)+IFERROR(VALUE(J8&amp;""),0)+IFERROR(VALUE(L8&amp;""),0)+IFERROR(VALUE(N8&amp;""),0)+IFERROR(VALUE(P8&amp;""),0))/500*100)&gt;=0,((IFERROR(VALUE(H8&amp;""),0)+IFERROR(VALUE(J8&amp;""),0)+IFERROR(VALUE(L8&amp;""),0)+IFERROR(VALUE(N8&amp;""),0)+IFERROR(VALUE(P8&amp;""),0))/500*100)&lt;=39.99),"NEEDS SUPPORT",""))</f>
        <v/>
      </c>
      <c r="S8" s="11"/>
      <c r="T8" s="13" t="str">
        <f>IF(TRIM(S8&amp;"")="","",IFERROR(IF(AND(VALUE(S8&amp;"")&gt;=0,VALUE(S8&amp;"")&lt;=39.99),"Level 1","")&amp;IF(AND(VALUE(S8&amp;"")&gt;=40,VALUE(S8&amp;"")&lt;=59.99),"Level 2","")&amp;IF(AND(VALUE(S8&amp;"")&gt;=60,VALUE(S8&amp;"")&lt;=79.99),"Level 3","")&amp;IF(AND(VALUE(S8&amp;"")&gt;=80,VALUE(S8&amp;"")&lt;=100),"Level 4",""),""))</f>
        <v/>
      </c>
      <c r="U8" s="11"/>
      <c r="V8" s="13" t="str">
        <f>IF(TRIM(U8&amp;"")="","",IFERROR(IF(AND(VALUE(U8&amp;"")&gt;=0,VALUE(U8&amp;"")&lt;=39.99),"Level 1","")&amp;IF(AND(VALUE(U8&amp;"")&gt;=40,VALUE(U8&amp;"")&lt;=59.99),"Level 2","")&amp;IF(AND(VALUE(U8&amp;"")&gt;=60,VALUE(U8&amp;"")&lt;=79.99),"Level 3","")&amp;IF(AND(VALUE(U8&amp;"")&gt;=80,VALUE(U8&amp;"")&lt;=100),"Level 4",""),""))</f>
        <v/>
      </c>
      <c r="W8" s="11"/>
      <c r="X8" s="13" t="str">
        <f>IF(TRIM(W8&amp;"")="","",IFERROR(IF(AND(VALUE(W8&amp;"")&gt;=0,VALUE(W8&amp;"")&lt;=39.99),"Level 1","")&amp;IF(AND(VALUE(W8&amp;"")&gt;=40,VALUE(W8&amp;"")&lt;=59.99),"Level 2","")&amp;IF(AND(VALUE(W8&amp;"")&gt;=60,VALUE(W8&amp;"")&lt;=79.99),"Level 3","")&amp;IF(AND(VALUE(W8&amp;"")&gt;=80,VALUE(W8&amp;"")&lt;=100),"Level 4",""),""))</f>
        <v/>
      </c>
      <c r="Y8" s="11"/>
      <c r="Z8" s="13" t="str">
        <f>IF(TRIM(Y8&amp;"")="","",IFERROR(IF(AND(VALUE(Y8&amp;"")&gt;=0,VALUE(Y8&amp;"")&lt;=39.99),"Level 1","")&amp;IF(AND(VALUE(Y8&amp;"")&gt;=40,VALUE(Y8&amp;"")&lt;=59.99),"Level 2","")&amp;IF(AND(VALUE(Y8&amp;"")&gt;=60,VALUE(Y8&amp;"")&lt;=79.99),"Level 3","")&amp;IF(AND(VALUE(Y8&amp;"")&gt;=80,VALUE(Y8&amp;"")&lt;=100),"Level 4",""),""))</f>
        <v/>
      </c>
      <c r="AA8" s="11"/>
      <c r="AB8" s="13" t="str">
        <f>IF(TRIM(AA8&amp;"")="","",IFERROR(IF(AND(VALUE(AA8&amp;"")&gt;=0,VALUE(AA8&amp;"")&lt;=39.99),"Level 1","")&amp;IF(AND(VALUE(AA8&amp;"")&gt;=40,VALUE(AA8&amp;"")&lt;=59.99),"Level 2","")&amp;IF(AND(VALUE(AA8&amp;"")&gt;=60,VALUE(AA8&amp;"")&lt;=79.99),"Level 3","")&amp;IF(AND(VALUE(AA8&amp;"")&gt;=80,VALUE(AA8&amp;"")&lt;=100),"Level 4",""),""))</f>
        <v/>
      </c>
      <c r="AC8" s="13" t="str">
        <f>IF(((TRIM(S8&amp;"")&lt;&gt;"")+(TRIM(U8&amp;"")&lt;&gt;"")+(TRIM(W8&amp;"")&lt;&gt;"")+(TRIM(Y8&amp;"")&lt;&gt;"")+(TRIM(AA8&amp;"")&lt;&gt;""))=0,"",IF(AND(((IFERROR(VALUE(S8&amp;""),0)+IFERROR(VALUE(U8&amp;""),0)+IFERROR(VALUE(W8&amp;""),0)+IFERROR(VALUE(Y8&amp;""),0)+IFERROR(VALUE(AA8&amp;""),0))/500*100)&gt;=80,((IFERROR(VALUE(S8&amp;""),0)+IFERROR(VALUE(U8&amp;""),0)+IFERROR(VALUE(W8&amp;""),0)+IFERROR(VALUE(Y8&amp;""),0)+IFERROR(VALUE(AA8&amp;""),0))/500*100)&lt;=100),"EXCELLENT","")&amp;IF(AND(((IFERROR(VALUE(S8&amp;""),0)+IFERROR(VALUE(U8&amp;""),0)+IFERROR(VALUE(W8&amp;""),0)+IFERROR(VALUE(Y8&amp;""),0)+IFERROR(VALUE(AA8&amp;""),0))/500*100)&gt;=60,((IFERROR(VALUE(S8&amp;""),0)+IFERROR(VALUE(U8&amp;""),0)+IFERROR(VALUE(W8&amp;""),0)+IFERROR(VALUE(Y8&amp;""),0)+IFERROR(VALUE(AA8&amp;""),0))/500*100)&lt;=79.99),"GOOD","")&amp;IF(AND(((IFERROR(VALUE(S8&amp;""),0)+IFERROR(VALUE(U8&amp;""),0)+IFERROR(VALUE(W8&amp;""),0)+IFERROR(VALUE(Y8&amp;""),0)+IFERROR(VALUE(AA8&amp;""),0))/500*100)&gt;=40,((IFERROR(VALUE(S8&amp;""),0)+IFERROR(VALUE(U8&amp;""),0)+IFERROR(VALUE(W8&amp;""),0)+IFERROR(VALUE(Y8&amp;""),0)+IFERROR(VALUE(AA8&amp;""),0))/500*100)&lt;=59.99),"AVERAGE","")&amp;IF(AND(((IFERROR(VALUE(S8&amp;""),0)+IFERROR(VALUE(U8&amp;""),0)+IFERROR(VALUE(W8&amp;""),0)+IFERROR(VALUE(Y8&amp;""),0)+IFERROR(VALUE(AA8&amp;""),0))/500*100)&gt;=0,((IFERROR(VALUE(S8&amp;""),0)+IFERROR(VALUE(U8&amp;""),0)+IFERROR(VALUE(W8&amp;""),0)+IFERROR(VALUE(Y8&amp;""),0)+IFERROR(VALUE(AA8&amp;""),0))/500*100)&lt;=39.99),"NEEDS SUPPORT",""))</f>
        <v/>
      </c>
      <c r="AD8" s="11"/>
      <c r="AE8" s="13" t="str">
        <f>IF(TRIM(AD8&amp;"")="","",IFERROR(IF(AND(VALUE(AD8&amp;"")&gt;=0,VALUE(AD8&amp;"")&lt;=39.99),"Level 1","")&amp;IF(AND(VALUE(AD8&amp;"")&gt;=40,VALUE(AD8&amp;"")&lt;=59.99),"Level 2","")&amp;IF(AND(VALUE(AD8&amp;"")&gt;=60,VALUE(AD8&amp;"")&lt;=79.99),"Level 3","")&amp;IF(AND(VALUE(AD8&amp;"")&gt;=80,VALUE(AD8&amp;"")&lt;=100),"Level 4",""),""))</f>
        <v/>
      </c>
      <c r="AF8" s="11"/>
      <c r="AG8" s="13" t="str">
        <f>IF(TRIM(AF8&amp;"")="","",IFERROR(IF(AND(VALUE(AF8&amp;"")&gt;=0,VALUE(AF8&amp;"")&lt;=39.99),"Level 1","")&amp;IF(AND(VALUE(AF8&amp;"")&gt;=40,VALUE(AF8&amp;"")&lt;=59.99),"Level 2","")&amp;IF(AND(VALUE(AF8&amp;"")&gt;=60,VALUE(AF8&amp;"")&lt;=79.99),"Level 3","")&amp;IF(AND(VALUE(AF8&amp;"")&gt;=80,VALUE(AF8&amp;"")&lt;=100),"Level 4",""),""))</f>
        <v/>
      </c>
      <c r="AH8" s="11"/>
      <c r="AI8" s="13" t="str">
        <f>IF(TRIM(AH8&amp;"")="","",IFERROR(IF(AND(VALUE(AH8&amp;"")&gt;=0,VALUE(AH8&amp;"")&lt;=39.99),"Level 1","")&amp;IF(AND(VALUE(AH8&amp;"")&gt;=40,VALUE(AH8&amp;"")&lt;=59.99),"Level 2","")&amp;IF(AND(VALUE(AH8&amp;"")&gt;=60,VALUE(AH8&amp;"")&lt;=79.99),"Level 3","")&amp;IF(AND(VALUE(AH8&amp;"")&gt;=80,VALUE(AH8&amp;"")&lt;=100),"Level 4",""),""))</f>
        <v/>
      </c>
      <c r="AJ8" s="11"/>
      <c r="AK8" s="13" t="str">
        <f>IF(TRIM(AJ8&amp;"")="","",IFERROR(IF(AND(VALUE(AJ8&amp;"")&gt;=0,VALUE(AJ8&amp;"")&lt;=39.99),"Level 1","")&amp;IF(AND(VALUE(AJ8&amp;"")&gt;=40,VALUE(AJ8&amp;"")&lt;=59.99),"Level 2","")&amp;IF(AND(VALUE(AJ8&amp;"")&gt;=60,VALUE(AJ8&amp;"")&lt;=79.99),"Level 3","")&amp;IF(AND(VALUE(AJ8&amp;"")&gt;=80,VALUE(AJ8&amp;"")&lt;=100),"Level 4",""),""))</f>
        <v/>
      </c>
      <c r="AL8" s="11"/>
      <c r="AM8" s="13" t="str">
        <f>IF(TRIM(AL8&amp;"")="","",IFERROR(IF(AND(VALUE(AL8&amp;"")&gt;=0,VALUE(AL8&amp;"")&lt;=39.99),"Level 1","")&amp;IF(AND(VALUE(AL8&amp;"")&gt;=40,VALUE(AL8&amp;"")&lt;=59.99),"Level 2","")&amp;IF(AND(VALUE(AL8&amp;"")&gt;=60,VALUE(AL8&amp;"")&lt;=79.99),"Level 3","")&amp;IF(AND(VALUE(AL8&amp;"")&gt;=80,VALUE(AL8&amp;"")&lt;=100),"Level 4",""),""))</f>
        <v/>
      </c>
      <c r="AN8" s="13" t="str">
        <f>IF(((TRIM(AD8&amp;"")&lt;&gt;"")+(TRIM(AF8&amp;"")&lt;&gt;"")+(TRIM(AH8&amp;"")&lt;&gt;"")+(TRIM(AJ8&amp;"")&lt;&gt;"")+(TRIM(AL8&amp;"")&lt;&gt;""))=0,"",IF(AND(((IFERROR(VALUE(AD8&amp;""),0)+IFERROR(VALUE(AF8&amp;""),0)+IFERROR(VALUE(AH8&amp;""),0)+IFERROR(VALUE(AJ8&amp;""),0)+IFERROR(VALUE(AL8&amp;""),0))/500*100)&gt;=80,((IFERROR(VALUE(AD8&amp;""),0)+IFERROR(VALUE(AF8&amp;""),0)+IFERROR(VALUE(AH8&amp;""),0)+IFERROR(VALUE(AJ8&amp;""),0)+IFERROR(VALUE(AL8&amp;""),0))/500*100)&lt;=100),"EXCELLENT","")&amp;IF(AND(((IFERROR(VALUE(AD8&amp;""),0)+IFERROR(VALUE(AF8&amp;""),0)+IFERROR(VALUE(AH8&amp;""),0)+IFERROR(VALUE(AJ8&amp;""),0)+IFERROR(VALUE(AL8&amp;""),0))/500*100)&gt;=60,((IFERROR(VALUE(AD8&amp;""),0)+IFERROR(VALUE(AF8&amp;""),0)+IFERROR(VALUE(AH8&amp;""),0)+IFERROR(VALUE(AJ8&amp;""),0)+IFERROR(VALUE(AL8&amp;""),0))/500*100)&lt;=79.99),"GOOD","")&amp;IF(AND(((IFERROR(VALUE(AD8&amp;""),0)+IFERROR(VALUE(AF8&amp;""),0)+IFERROR(VALUE(AH8&amp;""),0)+IFERROR(VALUE(AJ8&amp;""),0)+IFERROR(VALUE(AL8&amp;""),0))/500*100)&gt;=40,((IFERROR(VALUE(AD8&amp;""),0)+IFERROR(VALUE(AF8&amp;""),0)+IFERROR(VALUE(AH8&amp;""),0)+IFERROR(VALUE(AJ8&amp;""),0)+IFERROR(VALUE(AL8&amp;""),0))/500*100)&lt;=59.99),"AVERAGE","")&amp;IF(AND(((IFERROR(VALUE(AD8&amp;""),0)+IFERROR(VALUE(AF8&amp;""),0)+IFERROR(VALUE(AH8&amp;""),0)+IFERROR(VALUE(AJ8&amp;""),0)+IFERROR(VALUE(AL8&amp;""),0))/500*100)&gt;=0,((IFERROR(VALUE(AD8&amp;""),0)+IFERROR(VALUE(AF8&amp;""),0)+IFERROR(VALUE(AH8&amp;""),0)+IFERROR(VALUE(AJ8&amp;""),0)+IFERROR(VALUE(AL8&amp;""),0))/500*100)&lt;=39.99),"NEEDS SUPPORT",""))</f>
        <v/>
      </c>
      <c r="AO8" s="10" t="s">
        <v>118</v>
      </c>
      <c r="AP8" s="10" t="s">
        <v>119</v>
      </c>
      <c r="AQ8" s="10" t="s">
        <v>95</v>
      </c>
    </row>
    <row r="9" spans="1:43" x14ac:dyDescent="0.25">
      <c r="A9" s="10" t="s">
        <v>120</v>
      </c>
      <c r="B9" s="10" t="s">
        <v>3</v>
      </c>
      <c r="C9" s="10" t="s">
        <v>7</v>
      </c>
      <c r="D9" s="10" t="s">
        <v>121</v>
      </c>
      <c r="E9" s="10" t="s">
        <v>122</v>
      </c>
      <c r="F9" s="10" t="s">
        <v>123</v>
      </c>
      <c r="G9" s="10" t="s">
        <v>8</v>
      </c>
      <c r="H9" s="11"/>
      <c r="I9" s="13" t="str">
        <f>IF(TRIM(H9&amp;"")="","",IFERROR(IF(AND(VALUE(H9&amp;"")&gt;=0,VALUE(H9&amp;"")&lt;=39.99),"Level 1","")&amp;IF(AND(VALUE(H9&amp;"")&gt;=40,VALUE(H9&amp;"")&lt;=59.99),"Level 2","")&amp;IF(AND(VALUE(H9&amp;"")&gt;=60,VALUE(H9&amp;"")&lt;=79.99),"Level 3","")&amp;IF(AND(VALUE(H9&amp;"")&gt;=80,VALUE(H9&amp;"")&lt;=100),"Level 4",""),""))</f>
        <v/>
      </c>
      <c r="J9" s="11"/>
      <c r="K9" s="13" t="str">
        <f>IF(TRIM(J9&amp;"")="","",IFERROR(IF(AND(VALUE(J9&amp;"")&gt;=0,VALUE(J9&amp;"")&lt;=39.99),"Level 1","")&amp;IF(AND(VALUE(J9&amp;"")&gt;=40,VALUE(J9&amp;"")&lt;=59.99),"Level 2","")&amp;IF(AND(VALUE(J9&amp;"")&gt;=60,VALUE(J9&amp;"")&lt;=79.99),"Level 3","")&amp;IF(AND(VALUE(J9&amp;"")&gt;=80,VALUE(J9&amp;"")&lt;=100),"Level 4",""),""))</f>
        <v/>
      </c>
      <c r="L9" s="11"/>
      <c r="M9" s="13" t="str">
        <f>IF(TRIM(L9&amp;"")="","",IFERROR(IF(AND(VALUE(L9&amp;"")&gt;=0,VALUE(L9&amp;"")&lt;=39.99),"Level 1","")&amp;IF(AND(VALUE(L9&amp;"")&gt;=40,VALUE(L9&amp;"")&lt;=59.99),"Level 2","")&amp;IF(AND(VALUE(L9&amp;"")&gt;=60,VALUE(L9&amp;"")&lt;=79.99),"Level 3","")&amp;IF(AND(VALUE(L9&amp;"")&gt;=80,VALUE(L9&amp;"")&lt;=100),"Level 4",""),""))</f>
        <v/>
      </c>
      <c r="N9" s="11"/>
      <c r="O9" s="13" t="str">
        <f>IF(TRIM(N9&amp;"")="","",IFERROR(IF(AND(VALUE(N9&amp;"")&gt;=0,VALUE(N9&amp;"")&lt;=39.99),"Level 1","")&amp;IF(AND(VALUE(N9&amp;"")&gt;=40,VALUE(N9&amp;"")&lt;=59.99),"Level 2","")&amp;IF(AND(VALUE(N9&amp;"")&gt;=60,VALUE(N9&amp;"")&lt;=79.99),"Level 3","")&amp;IF(AND(VALUE(N9&amp;"")&gt;=80,VALUE(N9&amp;"")&lt;=100),"Level 4",""),""))</f>
        <v/>
      </c>
      <c r="P9" s="11"/>
      <c r="Q9" s="13" t="str">
        <f>IF(TRIM(P9&amp;"")="","",IFERROR(IF(AND(VALUE(P9&amp;"")&gt;=0,VALUE(P9&amp;"")&lt;=39.99),"Level 1","")&amp;IF(AND(VALUE(P9&amp;"")&gt;=40,VALUE(P9&amp;"")&lt;=59.99),"Level 2","")&amp;IF(AND(VALUE(P9&amp;"")&gt;=60,VALUE(P9&amp;"")&lt;=79.99),"Level 3","")&amp;IF(AND(VALUE(P9&amp;"")&gt;=80,VALUE(P9&amp;"")&lt;=100),"Level 4",""),""))</f>
        <v/>
      </c>
      <c r="R9" s="13" t="str">
        <f>IF(((TRIM(H9&amp;"")&lt;&gt;"")+(TRIM(J9&amp;"")&lt;&gt;"")+(TRIM(L9&amp;"")&lt;&gt;"")+(TRIM(N9&amp;"")&lt;&gt;"")+(TRIM(P9&amp;"")&lt;&gt;""))=0,"",IF(AND(((IFERROR(VALUE(H9&amp;""),0)+IFERROR(VALUE(J9&amp;""),0)+IFERROR(VALUE(L9&amp;""),0)+IFERROR(VALUE(N9&amp;""),0)+IFERROR(VALUE(P9&amp;""),0))/500*100)&gt;=80,((IFERROR(VALUE(H9&amp;""),0)+IFERROR(VALUE(J9&amp;""),0)+IFERROR(VALUE(L9&amp;""),0)+IFERROR(VALUE(N9&amp;""),0)+IFERROR(VALUE(P9&amp;""),0))/500*100)&lt;=100),"EXCELLENT","")&amp;IF(AND(((IFERROR(VALUE(H9&amp;""),0)+IFERROR(VALUE(J9&amp;""),0)+IFERROR(VALUE(L9&amp;""),0)+IFERROR(VALUE(N9&amp;""),0)+IFERROR(VALUE(P9&amp;""),0))/500*100)&gt;=60,((IFERROR(VALUE(H9&amp;""),0)+IFERROR(VALUE(J9&amp;""),0)+IFERROR(VALUE(L9&amp;""),0)+IFERROR(VALUE(N9&amp;""),0)+IFERROR(VALUE(P9&amp;""),0))/500*100)&lt;=79.99),"GOOD","")&amp;IF(AND(((IFERROR(VALUE(H9&amp;""),0)+IFERROR(VALUE(J9&amp;""),0)+IFERROR(VALUE(L9&amp;""),0)+IFERROR(VALUE(N9&amp;""),0)+IFERROR(VALUE(P9&amp;""),0))/500*100)&gt;=40,((IFERROR(VALUE(H9&amp;""),0)+IFERROR(VALUE(J9&amp;""),0)+IFERROR(VALUE(L9&amp;""),0)+IFERROR(VALUE(N9&amp;""),0)+IFERROR(VALUE(P9&amp;""),0))/500*100)&lt;=59.99),"AVERAGE","")&amp;IF(AND(((IFERROR(VALUE(H9&amp;""),0)+IFERROR(VALUE(J9&amp;""),0)+IFERROR(VALUE(L9&amp;""),0)+IFERROR(VALUE(N9&amp;""),0)+IFERROR(VALUE(P9&amp;""),0))/500*100)&gt;=0,((IFERROR(VALUE(H9&amp;""),0)+IFERROR(VALUE(J9&amp;""),0)+IFERROR(VALUE(L9&amp;""),0)+IFERROR(VALUE(N9&amp;""),0)+IFERROR(VALUE(P9&amp;""),0))/500*100)&lt;=39.99),"NEEDS SUPPORT",""))</f>
        <v/>
      </c>
      <c r="S9" s="11"/>
      <c r="T9" s="13" t="str">
        <f>IF(TRIM(S9&amp;"")="","",IFERROR(IF(AND(VALUE(S9&amp;"")&gt;=0,VALUE(S9&amp;"")&lt;=39.99),"Level 1","")&amp;IF(AND(VALUE(S9&amp;"")&gt;=40,VALUE(S9&amp;"")&lt;=59.99),"Level 2","")&amp;IF(AND(VALUE(S9&amp;"")&gt;=60,VALUE(S9&amp;"")&lt;=79.99),"Level 3","")&amp;IF(AND(VALUE(S9&amp;"")&gt;=80,VALUE(S9&amp;"")&lt;=100),"Level 4",""),""))</f>
        <v/>
      </c>
      <c r="U9" s="11"/>
      <c r="V9" s="13" t="str">
        <f>IF(TRIM(U9&amp;"")="","",IFERROR(IF(AND(VALUE(U9&amp;"")&gt;=0,VALUE(U9&amp;"")&lt;=39.99),"Level 1","")&amp;IF(AND(VALUE(U9&amp;"")&gt;=40,VALUE(U9&amp;"")&lt;=59.99),"Level 2","")&amp;IF(AND(VALUE(U9&amp;"")&gt;=60,VALUE(U9&amp;"")&lt;=79.99),"Level 3","")&amp;IF(AND(VALUE(U9&amp;"")&gt;=80,VALUE(U9&amp;"")&lt;=100),"Level 4",""),""))</f>
        <v/>
      </c>
      <c r="W9" s="11"/>
      <c r="X9" s="13" t="str">
        <f>IF(TRIM(W9&amp;"")="","",IFERROR(IF(AND(VALUE(W9&amp;"")&gt;=0,VALUE(W9&amp;"")&lt;=39.99),"Level 1","")&amp;IF(AND(VALUE(W9&amp;"")&gt;=40,VALUE(W9&amp;"")&lt;=59.99),"Level 2","")&amp;IF(AND(VALUE(W9&amp;"")&gt;=60,VALUE(W9&amp;"")&lt;=79.99),"Level 3","")&amp;IF(AND(VALUE(W9&amp;"")&gt;=80,VALUE(W9&amp;"")&lt;=100),"Level 4",""),""))</f>
        <v/>
      </c>
      <c r="Y9" s="11"/>
      <c r="Z9" s="13" t="str">
        <f>IF(TRIM(Y9&amp;"")="","",IFERROR(IF(AND(VALUE(Y9&amp;"")&gt;=0,VALUE(Y9&amp;"")&lt;=39.99),"Level 1","")&amp;IF(AND(VALUE(Y9&amp;"")&gt;=40,VALUE(Y9&amp;"")&lt;=59.99),"Level 2","")&amp;IF(AND(VALUE(Y9&amp;"")&gt;=60,VALUE(Y9&amp;"")&lt;=79.99),"Level 3","")&amp;IF(AND(VALUE(Y9&amp;"")&gt;=80,VALUE(Y9&amp;"")&lt;=100),"Level 4",""),""))</f>
        <v/>
      </c>
      <c r="AA9" s="11"/>
      <c r="AB9" s="13" t="str">
        <f>IF(TRIM(AA9&amp;"")="","",IFERROR(IF(AND(VALUE(AA9&amp;"")&gt;=0,VALUE(AA9&amp;"")&lt;=39.99),"Level 1","")&amp;IF(AND(VALUE(AA9&amp;"")&gt;=40,VALUE(AA9&amp;"")&lt;=59.99),"Level 2","")&amp;IF(AND(VALUE(AA9&amp;"")&gt;=60,VALUE(AA9&amp;"")&lt;=79.99),"Level 3","")&amp;IF(AND(VALUE(AA9&amp;"")&gt;=80,VALUE(AA9&amp;"")&lt;=100),"Level 4",""),""))</f>
        <v/>
      </c>
      <c r="AC9" s="13" t="str">
        <f>IF(((TRIM(S9&amp;"")&lt;&gt;"")+(TRIM(U9&amp;"")&lt;&gt;"")+(TRIM(W9&amp;"")&lt;&gt;"")+(TRIM(Y9&amp;"")&lt;&gt;"")+(TRIM(AA9&amp;"")&lt;&gt;""))=0,"",IF(AND(((IFERROR(VALUE(S9&amp;""),0)+IFERROR(VALUE(U9&amp;""),0)+IFERROR(VALUE(W9&amp;""),0)+IFERROR(VALUE(Y9&amp;""),0)+IFERROR(VALUE(AA9&amp;""),0))/500*100)&gt;=80,((IFERROR(VALUE(S9&amp;""),0)+IFERROR(VALUE(U9&amp;""),0)+IFERROR(VALUE(W9&amp;""),0)+IFERROR(VALUE(Y9&amp;""),0)+IFERROR(VALUE(AA9&amp;""),0))/500*100)&lt;=100),"EXCELLENT","")&amp;IF(AND(((IFERROR(VALUE(S9&amp;""),0)+IFERROR(VALUE(U9&amp;""),0)+IFERROR(VALUE(W9&amp;""),0)+IFERROR(VALUE(Y9&amp;""),0)+IFERROR(VALUE(AA9&amp;""),0))/500*100)&gt;=60,((IFERROR(VALUE(S9&amp;""),0)+IFERROR(VALUE(U9&amp;""),0)+IFERROR(VALUE(W9&amp;""),0)+IFERROR(VALUE(Y9&amp;""),0)+IFERROR(VALUE(AA9&amp;""),0))/500*100)&lt;=79.99),"GOOD","")&amp;IF(AND(((IFERROR(VALUE(S9&amp;""),0)+IFERROR(VALUE(U9&amp;""),0)+IFERROR(VALUE(W9&amp;""),0)+IFERROR(VALUE(Y9&amp;""),0)+IFERROR(VALUE(AA9&amp;""),0))/500*100)&gt;=40,((IFERROR(VALUE(S9&amp;""),0)+IFERROR(VALUE(U9&amp;""),0)+IFERROR(VALUE(W9&amp;""),0)+IFERROR(VALUE(Y9&amp;""),0)+IFERROR(VALUE(AA9&amp;""),0))/500*100)&lt;=59.99),"AVERAGE","")&amp;IF(AND(((IFERROR(VALUE(S9&amp;""),0)+IFERROR(VALUE(U9&amp;""),0)+IFERROR(VALUE(W9&amp;""),0)+IFERROR(VALUE(Y9&amp;""),0)+IFERROR(VALUE(AA9&amp;""),0))/500*100)&gt;=0,((IFERROR(VALUE(S9&amp;""),0)+IFERROR(VALUE(U9&amp;""),0)+IFERROR(VALUE(W9&amp;""),0)+IFERROR(VALUE(Y9&amp;""),0)+IFERROR(VALUE(AA9&amp;""),0))/500*100)&lt;=39.99),"NEEDS SUPPORT",""))</f>
        <v/>
      </c>
      <c r="AD9" s="11"/>
      <c r="AE9" s="13" t="str">
        <f>IF(TRIM(AD9&amp;"")="","",IFERROR(IF(AND(VALUE(AD9&amp;"")&gt;=0,VALUE(AD9&amp;"")&lt;=39.99),"Level 1","")&amp;IF(AND(VALUE(AD9&amp;"")&gt;=40,VALUE(AD9&amp;"")&lt;=59.99),"Level 2","")&amp;IF(AND(VALUE(AD9&amp;"")&gt;=60,VALUE(AD9&amp;"")&lt;=79.99),"Level 3","")&amp;IF(AND(VALUE(AD9&amp;"")&gt;=80,VALUE(AD9&amp;"")&lt;=100),"Level 4",""),""))</f>
        <v/>
      </c>
      <c r="AF9" s="11"/>
      <c r="AG9" s="13" t="str">
        <f>IF(TRIM(AF9&amp;"")="","",IFERROR(IF(AND(VALUE(AF9&amp;"")&gt;=0,VALUE(AF9&amp;"")&lt;=39.99),"Level 1","")&amp;IF(AND(VALUE(AF9&amp;"")&gt;=40,VALUE(AF9&amp;"")&lt;=59.99),"Level 2","")&amp;IF(AND(VALUE(AF9&amp;"")&gt;=60,VALUE(AF9&amp;"")&lt;=79.99),"Level 3","")&amp;IF(AND(VALUE(AF9&amp;"")&gt;=80,VALUE(AF9&amp;"")&lt;=100),"Level 4",""),""))</f>
        <v/>
      </c>
      <c r="AH9" s="11"/>
      <c r="AI9" s="13" t="str">
        <f>IF(TRIM(AH9&amp;"")="","",IFERROR(IF(AND(VALUE(AH9&amp;"")&gt;=0,VALUE(AH9&amp;"")&lt;=39.99),"Level 1","")&amp;IF(AND(VALUE(AH9&amp;"")&gt;=40,VALUE(AH9&amp;"")&lt;=59.99),"Level 2","")&amp;IF(AND(VALUE(AH9&amp;"")&gt;=60,VALUE(AH9&amp;"")&lt;=79.99),"Level 3","")&amp;IF(AND(VALUE(AH9&amp;"")&gt;=80,VALUE(AH9&amp;"")&lt;=100),"Level 4",""),""))</f>
        <v/>
      </c>
      <c r="AJ9" s="11"/>
      <c r="AK9" s="13" t="str">
        <f>IF(TRIM(AJ9&amp;"")="","",IFERROR(IF(AND(VALUE(AJ9&amp;"")&gt;=0,VALUE(AJ9&amp;"")&lt;=39.99),"Level 1","")&amp;IF(AND(VALUE(AJ9&amp;"")&gt;=40,VALUE(AJ9&amp;"")&lt;=59.99),"Level 2","")&amp;IF(AND(VALUE(AJ9&amp;"")&gt;=60,VALUE(AJ9&amp;"")&lt;=79.99),"Level 3","")&amp;IF(AND(VALUE(AJ9&amp;"")&gt;=80,VALUE(AJ9&amp;"")&lt;=100),"Level 4",""),""))</f>
        <v/>
      </c>
      <c r="AL9" s="11"/>
      <c r="AM9" s="13" t="str">
        <f>IF(TRIM(AL9&amp;"")="","",IFERROR(IF(AND(VALUE(AL9&amp;"")&gt;=0,VALUE(AL9&amp;"")&lt;=39.99),"Level 1","")&amp;IF(AND(VALUE(AL9&amp;"")&gt;=40,VALUE(AL9&amp;"")&lt;=59.99),"Level 2","")&amp;IF(AND(VALUE(AL9&amp;"")&gt;=60,VALUE(AL9&amp;"")&lt;=79.99),"Level 3","")&amp;IF(AND(VALUE(AL9&amp;"")&gt;=80,VALUE(AL9&amp;"")&lt;=100),"Level 4",""),""))</f>
        <v/>
      </c>
      <c r="AN9" s="13" t="str">
        <f>IF(((TRIM(AD9&amp;"")&lt;&gt;"")+(TRIM(AF9&amp;"")&lt;&gt;"")+(TRIM(AH9&amp;"")&lt;&gt;"")+(TRIM(AJ9&amp;"")&lt;&gt;"")+(TRIM(AL9&amp;"")&lt;&gt;""))=0,"",IF(AND(((IFERROR(VALUE(AD9&amp;""),0)+IFERROR(VALUE(AF9&amp;""),0)+IFERROR(VALUE(AH9&amp;""),0)+IFERROR(VALUE(AJ9&amp;""),0)+IFERROR(VALUE(AL9&amp;""),0))/500*100)&gt;=80,((IFERROR(VALUE(AD9&amp;""),0)+IFERROR(VALUE(AF9&amp;""),0)+IFERROR(VALUE(AH9&amp;""),0)+IFERROR(VALUE(AJ9&amp;""),0)+IFERROR(VALUE(AL9&amp;""),0))/500*100)&lt;=100),"EXCELLENT","")&amp;IF(AND(((IFERROR(VALUE(AD9&amp;""),0)+IFERROR(VALUE(AF9&amp;""),0)+IFERROR(VALUE(AH9&amp;""),0)+IFERROR(VALUE(AJ9&amp;""),0)+IFERROR(VALUE(AL9&amp;""),0))/500*100)&gt;=60,((IFERROR(VALUE(AD9&amp;""),0)+IFERROR(VALUE(AF9&amp;""),0)+IFERROR(VALUE(AH9&amp;""),0)+IFERROR(VALUE(AJ9&amp;""),0)+IFERROR(VALUE(AL9&amp;""),0))/500*100)&lt;=79.99),"GOOD","")&amp;IF(AND(((IFERROR(VALUE(AD9&amp;""),0)+IFERROR(VALUE(AF9&amp;""),0)+IFERROR(VALUE(AH9&amp;""),0)+IFERROR(VALUE(AJ9&amp;""),0)+IFERROR(VALUE(AL9&amp;""),0))/500*100)&gt;=40,((IFERROR(VALUE(AD9&amp;""),0)+IFERROR(VALUE(AF9&amp;""),0)+IFERROR(VALUE(AH9&amp;""),0)+IFERROR(VALUE(AJ9&amp;""),0)+IFERROR(VALUE(AL9&amp;""),0))/500*100)&lt;=59.99),"AVERAGE","")&amp;IF(AND(((IFERROR(VALUE(AD9&amp;""),0)+IFERROR(VALUE(AF9&amp;""),0)+IFERROR(VALUE(AH9&amp;""),0)+IFERROR(VALUE(AJ9&amp;""),0)+IFERROR(VALUE(AL9&amp;""),0))/500*100)&gt;=0,((IFERROR(VALUE(AD9&amp;""),0)+IFERROR(VALUE(AF9&amp;""),0)+IFERROR(VALUE(AH9&amp;""),0)+IFERROR(VALUE(AJ9&amp;""),0)+IFERROR(VALUE(AL9&amp;""),0))/500*100)&lt;=39.99),"NEEDS SUPPORT",""))</f>
        <v/>
      </c>
      <c r="AO9" s="10" t="s">
        <v>124</v>
      </c>
      <c r="AP9" s="10" t="s">
        <v>125</v>
      </c>
      <c r="AQ9" s="10" t="s">
        <v>95</v>
      </c>
    </row>
    <row r="10" spans="1:43" x14ac:dyDescent="0.25">
      <c r="A10" s="10" t="s">
        <v>126</v>
      </c>
      <c r="B10" s="10" t="s">
        <v>3</v>
      </c>
      <c r="C10" s="10" t="s">
        <v>7</v>
      </c>
      <c r="D10" s="10" t="s">
        <v>127</v>
      </c>
      <c r="E10" s="10" t="s">
        <v>98</v>
      </c>
      <c r="F10" s="10" t="s">
        <v>128</v>
      </c>
      <c r="G10" s="10" t="s">
        <v>5</v>
      </c>
      <c r="H10" s="11"/>
      <c r="I10" s="13" t="str">
        <f>IF(TRIM(H10&amp;"")="","",IFERROR(IF(AND(VALUE(H10&amp;"")&gt;=0,VALUE(H10&amp;"")&lt;=39.99),"Level 1","")&amp;IF(AND(VALUE(H10&amp;"")&gt;=40,VALUE(H10&amp;"")&lt;=59.99),"Level 2","")&amp;IF(AND(VALUE(H10&amp;"")&gt;=60,VALUE(H10&amp;"")&lt;=79.99),"Level 3","")&amp;IF(AND(VALUE(H10&amp;"")&gt;=80,VALUE(H10&amp;"")&lt;=100),"Level 4",""),""))</f>
        <v/>
      </c>
      <c r="J10" s="11"/>
      <c r="K10" s="13" t="str">
        <f>IF(TRIM(J10&amp;"")="","",IFERROR(IF(AND(VALUE(J10&amp;"")&gt;=0,VALUE(J10&amp;"")&lt;=39.99),"Level 1","")&amp;IF(AND(VALUE(J10&amp;"")&gt;=40,VALUE(J10&amp;"")&lt;=59.99),"Level 2","")&amp;IF(AND(VALUE(J10&amp;"")&gt;=60,VALUE(J10&amp;"")&lt;=79.99),"Level 3","")&amp;IF(AND(VALUE(J10&amp;"")&gt;=80,VALUE(J10&amp;"")&lt;=100),"Level 4",""),""))</f>
        <v/>
      </c>
      <c r="L10" s="11"/>
      <c r="M10" s="13" t="str">
        <f>IF(TRIM(L10&amp;"")="","",IFERROR(IF(AND(VALUE(L10&amp;"")&gt;=0,VALUE(L10&amp;"")&lt;=39.99),"Level 1","")&amp;IF(AND(VALUE(L10&amp;"")&gt;=40,VALUE(L10&amp;"")&lt;=59.99),"Level 2","")&amp;IF(AND(VALUE(L10&amp;"")&gt;=60,VALUE(L10&amp;"")&lt;=79.99),"Level 3","")&amp;IF(AND(VALUE(L10&amp;"")&gt;=80,VALUE(L10&amp;"")&lt;=100),"Level 4",""),""))</f>
        <v/>
      </c>
      <c r="N10" s="11"/>
      <c r="O10" s="13" t="str">
        <f>IF(TRIM(N10&amp;"")="","",IFERROR(IF(AND(VALUE(N10&amp;"")&gt;=0,VALUE(N10&amp;"")&lt;=39.99),"Level 1","")&amp;IF(AND(VALUE(N10&amp;"")&gt;=40,VALUE(N10&amp;"")&lt;=59.99),"Level 2","")&amp;IF(AND(VALUE(N10&amp;"")&gt;=60,VALUE(N10&amp;"")&lt;=79.99),"Level 3","")&amp;IF(AND(VALUE(N10&amp;"")&gt;=80,VALUE(N10&amp;"")&lt;=100),"Level 4",""),""))</f>
        <v/>
      </c>
      <c r="P10" s="11"/>
      <c r="Q10" s="13" t="str">
        <f>IF(TRIM(P10&amp;"")="","",IFERROR(IF(AND(VALUE(P10&amp;"")&gt;=0,VALUE(P10&amp;"")&lt;=39.99),"Level 1","")&amp;IF(AND(VALUE(P10&amp;"")&gt;=40,VALUE(P10&amp;"")&lt;=59.99),"Level 2","")&amp;IF(AND(VALUE(P10&amp;"")&gt;=60,VALUE(P10&amp;"")&lt;=79.99),"Level 3","")&amp;IF(AND(VALUE(P10&amp;"")&gt;=80,VALUE(P10&amp;"")&lt;=100),"Level 4",""),""))</f>
        <v/>
      </c>
      <c r="R10" s="13" t="str">
        <f>IF(((TRIM(H10&amp;"")&lt;&gt;"")+(TRIM(J10&amp;"")&lt;&gt;"")+(TRIM(L10&amp;"")&lt;&gt;"")+(TRIM(N10&amp;"")&lt;&gt;"")+(TRIM(P10&amp;"")&lt;&gt;""))=0,"",IF(AND(((IFERROR(VALUE(H10&amp;""),0)+IFERROR(VALUE(J10&amp;""),0)+IFERROR(VALUE(L10&amp;""),0)+IFERROR(VALUE(N10&amp;""),0)+IFERROR(VALUE(P10&amp;""),0))/500*100)&gt;=80,((IFERROR(VALUE(H10&amp;""),0)+IFERROR(VALUE(J10&amp;""),0)+IFERROR(VALUE(L10&amp;""),0)+IFERROR(VALUE(N10&amp;""),0)+IFERROR(VALUE(P10&amp;""),0))/500*100)&lt;=100),"EXCELLENT","")&amp;IF(AND(((IFERROR(VALUE(H10&amp;""),0)+IFERROR(VALUE(J10&amp;""),0)+IFERROR(VALUE(L10&amp;""),0)+IFERROR(VALUE(N10&amp;""),0)+IFERROR(VALUE(P10&amp;""),0))/500*100)&gt;=60,((IFERROR(VALUE(H10&amp;""),0)+IFERROR(VALUE(J10&amp;""),0)+IFERROR(VALUE(L10&amp;""),0)+IFERROR(VALUE(N10&amp;""),0)+IFERROR(VALUE(P10&amp;""),0))/500*100)&lt;=79.99),"GOOD","")&amp;IF(AND(((IFERROR(VALUE(H10&amp;""),0)+IFERROR(VALUE(J10&amp;""),0)+IFERROR(VALUE(L10&amp;""),0)+IFERROR(VALUE(N10&amp;""),0)+IFERROR(VALUE(P10&amp;""),0))/500*100)&gt;=40,((IFERROR(VALUE(H10&amp;""),0)+IFERROR(VALUE(J10&amp;""),0)+IFERROR(VALUE(L10&amp;""),0)+IFERROR(VALUE(N10&amp;""),0)+IFERROR(VALUE(P10&amp;""),0))/500*100)&lt;=59.99),"AVERAGE","")&amp;IF(AND(((IFERROR(VALUE(H10&amp;""),0)+IFERROR(VALUE(J10&amp;""),0)+IFERROR(VALUE(L10&amp;""),0)+IFERROR(VALUE(N10&amp;""),0)+IFERROR(VALUE(P10&amp;""),0))/500*100)&gt;=0,((IFERROR(VALUE(H10&amp;""),0)+IFERROR(VALUE(J10&amp;""),0)+IFERROR(VALUE(L10&amp;""),0)+IFERROR(VALUE(N10&amp;""),0)+IFERROR(VALUE(P10&amp;""),0))/500*100)&lt;=39.99),"NEEDS SUPPORT",""))</f>
        <v/>
      </c>
      <c r="S10" s="11"/>
      <c r="T10" s="13" t="str">
        <f>IF(TRIM(S10&amp;"")="","",IFERROR(IF(AND(VALUE(S10&amp;"")&gt;=0,VALUE(S10&amp;"")&lt;=39.99),"Level 1","")&amp;IF(AND(VALUE(S10&amp;"")&gt;=40,VALUE(S10&amp;"")&lt;=59.99),"Level 2","")&amp;IF(AND(VALUE(S10&amp;"")&gt;=60,VALUE(S10&amp;"")&lt;=79.99),"Level 3","")&amp;IF(AND(VALUE(S10&amp;"")&gt;=80,VALUE(S10&amp;"")&lt;=100),"Level 4",""),""))</f>
        <v/>
      </c>
      <c r="U10" s="11"/>
      <c r="V10" s="13" t="str">
        <f>IF(TRIM(U10&amp;"")="","",IFERROR(IF(AND(VALUE(U10&amp;"")&gt;=0,VALUE(U10&amp;"")&lt;=39.99),"Level 1","")&amp;IF(AND(VALUE(U10&amp;"")&gt;=40,VALUE(U10&amp;"")&lt;=59.99),"Level 2","")&amp;IF(AND(VALUE(U10&amp;"")&gt;=60,VALUE(U10&amp;"")&lt;=79.99),"Level 3","")&amp;IF(AND(VALUE(U10&amp;"")&gt;=80,VALUE(U10&amp;"")&lt;=100),"Level 4",""),""))</f>
        <v/>
      </c>
      <c r="W10" s="11"/>
      <c r="X10" s="13" t="str">
        <f>IF(TRIM(W10&amp;"")="","",IFERROR(IF(AND(VALUE(W10&amp;"")&gt;=0,VALUE(W10&amp;"")&lt;=39.99),"Level 1","")&amp;IF(AND(VALUE(W10&amp;"")&gt;=40,VALUE(W10&amp;"")&lt;=59.99),"Level 2","")&amp;IF(AND(VALUE(W10&amp;"")&gt;=60,VALUE(W10&amp;"")&lt;=79.99),"Level 3","")&amp;IF(AND(VALUE(W10&amp;"")&gt;=80,VALUE(W10&amp;"")&lt;=100),"Level 4",""),""))</f>
        <v/>
      </c>
      <c r="Y10" s="11"/>
      <c r="Z10" s="13" t="str">
        <f>IF(TRIM(Y10&amp;"")="","",IFERROR(IF(AND(VALUE(Y10&amp;"")&gt;=0,VALUE(Y10&amp;"")&lt;=39.99),"Level 1","")&amp;IF(AND(VALUE(Y10&amp;"")&gt;=40,VALUE(Y10&amp;"")&lt;=59.99),"Level 2","")&amp;IF(AND(VALUE(Y10&amp;"")&gt;=60,VALUE(Y10&amp;"")&lt;=79.99),"Level 3","")&amp;IF(AND(VALUE(Y10&amp;"")&gt;=80,VALUE(Y10&amp;"")&lt;=100),"Level 4",""),""))</f>
        <v/>
      </c>
      <c r="AA10" s="11"/>
      <c r="AB10" s="13" t="str">
        <f>IF(TRIM(AA10&amp;"")="","",IFERROR(IF(AND(VALUE(AA10&amp;"")&gt;=0,VALUE(AA10&amp;"")&lt;=39.99),"Level 1","")&amp;IF(AND(VALUE(AA10&amp;"")&gt;=40,VALUE(AA10&amp;"")&lt;=59.99),"Level 2","")&amp;IF(AND(VALUE(AA10&amp;"")&gt;=60,VALUE(AA10&amp;"")&lt;=79.99),"Level 3","")&amp;IF(AND(VALUE(AA10&amp;"")&gt;=80,VALUE(AA10&amp;"")&lt;=100),"Level 4",""),""))</f>
        <v/>
      </c>
      <c r="AC10" s="13" t="str">
        <f>IF(((TRIM(S10&amp;"")&lt;&gt;"")+(TRIM(U10&amp;"")&lt;&gt;"")+(TRIM(W10&amp;"")&lt;&gt;"")+(TRIM(Y10&amp;"")&lt;&gt;"")+(TRIM(AA10&amp;"")&lt;&gt;""))=0,"",IF(AND(((IFERROR(VALUE(S10&amp;""),0)+IFERROR(VALUE(U10&amp;""),0)+IFERROR(VALUE(W10&amp;""),0)+IFERROR(VALUE(Y10&amp;""),0)+IFERROR(VALUE(AA10&amp;""),0))/500*100)&gt;=80,((IFERROR(VALUE(S10&amp;""),0)+IFERROR(VALUE(U10&amp;""),0)+IFERROR(VALUE(W10&amp;""),0)+IFERROR(VALUE(Y10&amp;""),0)+IFERROR(VALUE(AA10&amp;""),0))/500*100)&lt;=100),"EXCELLENT","")&amp;IF(AND(((IFERROR(VALUE(S10&amp;""),0)+IFERROR(VALUE(U10&amp;""),0)+IFERROR(VALUE(W10&amp;""),0)+IFERROR(VALUE(Y10&amp;""),0)+IFERROR(VALUE(AA10&amp;""),0))/500*100)&gt;=60,((IFERROR(VALUE(S10&amp;""),0)+IFERROR(VALUE(U10&amp;""),0)+IFERROR(VALUE(W10&amp;""),0)+IFERROR(VALUE(Y10&amp;""),0)+IFERROR(VALUE(AA10&amp;""),0))/500*100)&lt;=79.99),"GOOD","")&amp;IF(AND(((IFERROR(VALUE(S10&amp;""),0)+IFERROR(VALUE(U10&amp;""),0)+IFERROR(VALUE(W10&amp;""),0)+IFERROR(VALUE(Y10&amp;""),0)+IFERROR(VALUE(AA10&amp;""),0))/500*100)&gt;=40,((IFERROR(VALUE(S10&amp;""),0)+IFERROR(VALUE(U10&amp;""),0)+IFERROR(VALUE(W10&amp;""),0)+IFERROR(VALUE(Y10&amp;""),0)+IFERROR(VALUE(AA10&amp;""),0))/500*100)&lt;=59.99),"AVERAGE","")&amp;IF(AND(((IFERROR(VALUE(S10&amp;""),0)+IFERROR(VALUE(U10&amp;""),0)+IFERROR(VALUE(W10&amp;""),0)+IFERROR(VALUE(Y10&amp;""),0)+IFERROR(VALUE(AA10&amp;""),0))/500*100)&gt;=0,((IFERROR(VALUE(S10&amp;""),0)+IFERROR(VALUE(U10&amp;""),0)+IFERROR(VALUE(W10&amp;""),0)+IFERROR(VALUE(Y10&amp;""),0)+IFERROR(VALUE(AA10&amp;""),0))/500*100)&lt;=39.99),"NEEDS SUPPORT",""))</f>
        <v/>
      </c>
      <c r="AD10" s="11"/>
      <c r="AE10" s="13" t="str">
        <f>IF(TRIM(AD10&amp;"")="","",IFERROR(IF(AND(VALUE(AD10&amp;"")&gt;=0,VALUE(AD10&amp;"")&lt;=39.99),"Level 1","")&amp;IF(AND(VALUE(AD10&amp;"")&gt;=40,VALUE(AD10&amp;"")&lt;=59.99),"Level 2","")&amp;IF(AND(VALUE(AD10&amp;"")&gt;=60,VALUE(AD10&amp;"")&lt;=79.99),"Level 3","")&amp;IF(AND(VALUE(AD10&amp;"")&gt;=80,VALUE(AD10&amp;"")&lt;=100),"Level 4",""),""))</f>
        <v/>
      </c>
      <c r="AF10" s="11"/>
      <c r="AG10" s="13" t="str">
        <f>IF(TRIM(AF10&amp;"")="","",IFERROR(IF(AND(VALUE(AF10&amp;"")&gt;=0,VALUE(AF10&amp;"")&lt;=39.99),"Level 1","")&amp;IF(AND(VALUE(AF10&amp;"")&gt;=40,VALUE(AF10&amp;"")&lt;=59.99),"Level 2","")&amp;IF(AND(VALUE(AF10&amp;"")&gt;=60,VALUE(AF10&amp;"")&lt;=79.99),"Level 3","")&amp;IF(AND(VALUE(AF10&amp;"")&gt;=80,VALUE(AF10&amp;"")&lt;=100),"Level 4",""),""))</f>
        <v/>
      </c>
      <c r="AH10" s="11"/>
      <c r="AI10" s="13" t="str">
        <f>IF(TRIM(AH10&amp;"")="","",IFERROR(IF(AND(VALUE(AH10&amp;"")&gt;=0,VALUE(AH10&amp;"")&lt;=39.99),"Level 1","")&amp;IF(AND(VALUE(AH10&amp;"")&gt;=40,VALUE(AH10&amp;"")&lt;=59.99),"Level 2","")&amp;IF(AND(VALUE(AH10&amp;"")&gt;=60,VALUE(AH10&amp;"")&lt;=79.99),"Level 3","")&amp;IF(AND(VALUE(AH10&amp;"")&gt;=80,VALUE(AH10&amp;"")&lt;=100),"Level 4",""),""))</f>
        <v/>
      </c>
      <c r="AJ10" s="11"/>
      <c r="AK10" s="13" t="str">
        <f>IF(TRIM(AJ10&amp;"")="","",IFERROR(IF(AND(VALUE(AJ10&amp;"")&gt;=0,VALUE(AJ10&amp;"")&lt;=39.99),"Level 1","")&amp;IF(AND(VALUE(AJ10&amp;"")&gt;=40,VALUE(AJ10&amp;"")&lt;=59.99),"Level 2","")&amp;IF(AND(VALUE(AJ10&amp;"")&gt;=60,VALUE(AJ10&amp;"")&lt;=79.99),"Level 3","")&amp;IF(AND(VALUE(AJ10&amp;"")&gt;=80,VALUE(AJ10&amp;"")&lt;=100),"Level 4",""),""))</f>
        <v/>
      </c>
      <c r="AL10" s="11"/>
      <c r="AM10" s="13" t="str">
        <f>IF(TRIM(AL10&amp;"")="","",IFERROR(IF(AND(VALUE(AL10&amp;"")&gt;=0,VALUE(AL10&amp;"")&lt;=39.99),"Level 1","")&amp;IF(AND(VALUE(AL10&amp;"")&gt;=40,VALUE(AL10&amp;"")&lt;=59.99),"Level 2","")&amp;IF(AND(VALUE(AL10&amp;"")&gt;=60,VALUE(AL10&amp;"")&lt;=79.99),"Level 3","")&amp;IF(AND(VALUE(AL10&amp;"")&gt;=80,VALUE(AL10&amp;"")&lt;=100),"Level 4",""),""))</f>
        <v/>
      </c>
      <c r="AN10" s="13" t="str">
        <f>IF(((TRIM(AD10&amp;"")&lt;&gt;"")+(TRIM(AF10&amp;"")&lt;&gt;"")+(TRIM(AH10&amp;"")&lt;&gt;"")+(TRIM(AJ10&amp;"")&lt;&gt;"")+(TRIM(AL10&amp;"")&lt;&gt;""))=0,"",IF(AND(((IFERROR(VALUE(AD10&amp;""),0)+IFERROR(VALUE(AF10&amp;""),0)+IFERROR(VALUE(AH10&amp;""),0)+IFERROR(VALUE(AJ10&amp;""),0)+IFERROR(VALUE(AL10&amp;""),0))/500*100)&gt;=80,((IFERROR(VALUE(AD10&amp;""),0)+IFERROR(VALUE(AF10&amp;""),0)+IFERROR(VALUE(AH10&amp;""),0)+IFERROR(VALUE(AJ10&amp;""),0)+IFERROR(VALUE(AL10&amp;""),0))/500*100)&lt;=100),"EXCELLENT","")&amp;IF(AND(((IFERROR(VALUE(AD10&amp;""),0)+IFERROR(VALUE(AF10&amp;""),0)+IFERROR(VALUE(AH10&amp;""),0)+IFERROR(VALUE(AJ10&amp;""),0)+IFERROR(VALUE(AL10&amp;""),0))/500*100)&gt;=60,((IFERROR(VALUE(AD10&amp;""),0)+IFERROR(VALUE(AF10&amp;""),0)+IFERROR(VALUE(AH10&amp;""),0)+IFERROR(VALUE(AJ10&amp;""),0)+IFERROR(VALUE(AL10&amp;""),0))/500*100)&lt;=79.99),"GOOD","")&amp;IF(AND(((IFERROR(VALUE(AD10&amp;""),0)+IFERROR(VALUE(AF10&amp;""),0)+IFERROR(VALUE(AH10&amp;""),0)+IFERROR(VALUE(AJ10&amp;""),0)+IFERROR(VALUE(AL10&amp;""),0))/500*100)&gt;=40,((IFERROR(VALUE(AD10&amp;""),0)+IFERROR(VALUE(AF10&amp;""),0)+IFERROR(VALUE(AH10&amp;""),0)+IFERROR(VALUE(AJ10&amp;""),0)+IFERROR(VALUE(AL10&amp;""),0))/500*100)&lt;=59.99),"AVERAGE","")&amp;IF(AND(((IFERROR(VALUE(AD10&amp;""),0)+IFERROR(VALUE(AF10&amp;""),0)+IFERROR(VALUE(AH10&amp;""),0)+IFERROR(VALUE(AJ10&amp;""),0)+IFERROR(VALUE(AL10&amp;""),0))/500*100)&gt;=0,((IFERROR(VALUE(AD10&amp;""),0)+IFERROR(VALUE(AF10&amp;""),0)+IFERROR(VALUE(AH10&amp;""),0)+IFERROR(VALUE(AJ10&amp;""),0)+IFERROR(VALUE(AL10&amp;""),0))/500*100)&lt;=39.99),"NEEDS SUPPORT",""))</f>
        <v/>
      </c>
      <c r="AO10" s="10" t="s">
        <v>129</v>
      </c>
      <c r="AP10" s="10" t="s">
        <v>130</v>
      </c>
      <c r="AQ10" s="10" t="s">
        <v>95</v>
      </c>
    </row>
    <row r="11" spans="1:43" x14ac:dyDescent="0.25">
      <c r="A11" s="10" t="s">
        <v>131</v>
      </c>
      <c r="B11" s="10" t="s">
        <v>3</v>
      </c>
      <c r="C11" s="10" t="s">
        <v>7</v>
      </c>
      <c r="D11" s="10" t="s">
        <v>132</v>
      </c>
      <c r="E11" s="10" t="s">
        <v>133</v>
      </c>
      <c r="F11" s="10" t="s">
        <v>134</v>
      </c>
      <c r="G11" s="10" t="s">
        <v>8</v>
      </c>
      <c r="H11" s="11"/>
      <c r="I11" s="13" t="str">
        <f>IF(TRIM(H11&amp;"")="","",IFERROR(IF(AND(VALUE(H11&amp;"")&gt;=0,VALUE(H11&amp;"")&lt;=39.99),"Level 1","")&amp;IF(AND(VALUE(H11&amp;"")&gt;=40,VALUE(H11&amp;"")&lt;=59.99),"Level 2","")&amp;IF(AND(VALUE(H11&amp;"")&gt;=60,VALUE(H11&amp;"")&lt;=79.99),"Level 3","")&amp;IF(AND(VALUE(H11&amp;"")&gt;=80,VALUE(H11&amp;"")&lt;=100),"Level 4",""),""))</f>
        <v/>
      </c>
      <c r="J11" s="11"/>
      <c r="K11" s="13" t="str">
        <f>IF(TRIM(J11&amp;"")="","",IFERROR(IF(AND(VALUE(J11&amp;"")&gt;=0,VALUE(J11&amp;"")&lt;=39.99),"Level 1","")&amp;IF(AND(VALUE(J11&amp;"")&gt;=40,VALUE(J11&amp;"")&lt;=59.99),"Level 2","")&amp;IF(AND(VALUE(J11&amp;"")&gt;=60,VALUE(J11&amp;"")&lt;=79.99),"Level 3","")&amp;IF(AND(VALUE(J11&amp;"")&gt;=80,VALUE(J11&amp;"")&lt;=100),"Level 4",""),""))</f>
        <v/>
      </c>
      <c r="L11" s="11"/>
      <c r="M11" s="13" t="str">
        <f>IF(TRIM(L11&amp;"")="","",IFERROR(IF(AND(VALUE(L11&amp;"")&gt;=0,VALUE(L11&amp;"")&lt;=39.99),"Level 1","")&amp;IF(AND(VALUE(L11&amp;"")&gt;=40,VALUE(L11&amp;"")&lt;=59.99),"Level 2","")&amp;IF(AND(VALUE(L11&amp;"")&gt;=60,VALUE(L11&amp;"")&lt;=79.99),"Level 3","")&amp;IF(AND(VALUE(L11&amp;"")&gt;=80,VALUE(L11&amp;"")&lt;=100),"Level 4",""),""))</f>
        <v/>
      </c>
      <c r="N11" s="11"/>
      <c r="O11" s="13" t="str">
        <f>IF(TRIM(N11&amp;"")="","",IFERROR(IF(AND(VALUE(N11&amp;"")&gt;=0,VALUE(N11&amp;"")&lt;=39.99),"Level 1","")&amp;IF(AND(VALUE(N11&amp;"")&gt;=40,VALUE(N11&amp;"")&lt;=59.99),"Level 2","")&amp;IF(AND(VALUE(N11&amp;"")&gt;=60,VALUE(N11&amp;"")&lt;=79.99),"Level 3","")&amp;IF(AND(VALUE(N11&amp;"")&gt;=80,VALUE(N11&amp;"")&lt;=100),"Level 4",""),""))</f>
        <v/>
      </c>
      <c r="P11" s="11"/>
      <c r="Q11" s="13" t="str">
        <f>IF(TRIM(P11&amp;"")="","",IFERROR(IF(AND(VALUE(P11&amp;"")&gt;=0,VALUE(P11&amp;"")&lt;=39.99),"Level 1","")&amp;IF(AND(VALUE(P11&amp;"")&gt;=40,VALUE(P11&amp;"")&lt;=59.99),"Level 2","")&amp;IF(AND(VALUE(P11&amp;"")&gt;=60,VALUE(P11&amp;"")&lt;=79.99),"Level 3","")&amp;IF(AND(VALUE(P11&amp;"")&gt;=80,VALUE(P11&amp;"")&lt;=100),"Level 4",""),""))</f>
        <v/>
      </c>
      <c r="R11" s="13" t="str">
        <f>IF(((TRIM(H11&amp;"")&lt;&gt;"")+(TRIM(J11&amp;"")&lt;&gt;"")+(TRIM(L11&amp;"")&lt;&gt;"")+(TRIM(N11&amp;"")&lt;&gt;"")+(TRIM(P11&amp;"")&lt;&gt;""))=0,"",IF(AND(((IFERROR(VALUE(H11&amp;""),0)+IFERROR(VALUE(J11&amp;""),0)+IFERROR(VALUE(L11&amp;""),0)+IFERROR(VALUE(N11&amp;""),0)+IFERROR(VALUE(P11&amp;""),0))/500*100)&gt;=80,((IFERROR(VALUE(H11&amp;""),0)+IFERROR(VALUE(J11&amp;""),0)+IFERROR(VALUE(L11&amp;""),0)+IFERROR(VALUE(N11&amp;""),0)+IFERROR(VALUE(P11&amp;""),0))/500*100)&lt;=100),"EXCELLENT","")&amp;IF(AND(((IFERROR(VALUE(H11&amp;""),0)+IFERROR(VALUE(J11&amp;""),0)+IFERROR(VALUE(L11&amp;""),0)+IFERROR(VALUE(N11&amp;""),0)+IFERROR(VALUE(P11&amp;""),0))/500*100)&gt;=60,((IFERROR(VALUE(H11&amp;""),0)+IFERROR(VALUE(J11&amp;""),0)+IFERROR(VALUE(L11&amp;""),0)+IFERROR(VALUE(N11&amp;""),0)+IFERROR(VALUE(P11&amp;""),0))/500*100)&lt;=79.99),"GOOD","")&amp;IF(AND(((IFERROR(VALUE(H11&amp;""),0)+IFERROR(VALUE(J11&amp;""),0)+IFERROR(VALUE(L11&amp;""),0)+IFERROR(VALUE(N11&amp;""),0)+IFERROR(VALUE(P11&amp;""),0))/500*100)&gt;=40,((IFERROR(VALUE(H11&amp;""),0)+IFERROR(VALUE(J11&amp;""),0)+IFERROR(VALUE(L11&amp;""),0)+IFERROR(VALUE(N11&amp;""),0)+IFERROR(VALUE(P11&amp;""),0))/500*100)&lt;=59.99),"AVERAGE","")&amp;IF(AND(((IFERROR(VALUE(H11&amp;""),0)+IFERROR(VALUE(J11&amp;""),0)+IFERROR(VALUE(L11&amp;""),0)+IFERROR(VALUE(N11&amp;""),0)+IFERROR(VALUE(P11&amp;""),0))/500*100)&gt;=0,((IFERROR(VALUE(H11&amp;""),0)+IFERROR(VALUE(J11&amp;""),0)+IFERROR(VALUE(L11&amp;""),0)+IFERROR(VALUE(N11&amp;""),0)+IFERROR(VALUE(P11&amp;""),0))/500*100)&lt;=39.99),"NEEDS SUPPORT",""))</f>
        <v/>
      </c>
      <c r="S11" s="11"/>
      <c r="T11" s="13" t="str">
        <f>IF(TRIM(S11&amp;"")="","",IFERROR(IF(AND(VALUE(S11&amp;"")&gt;=0,VALUE(S11&amp;"")&lt;=39.99),"Level 1","")&amp;IF(AND(VALUE(S11&amp;"")&gt;=40,VALUE(S11&amp;"")&lt;=59.99),"Level 2","")&amp;IF(AND(VALUE(S11&amp;"")&gt;=60,VALUE(S11&amp;"")&lt;=79.99),"Level 3","")&amp;IF(AND(VALUE(S11&amp;"")&gt;=80,VALUE(S11&amp;"")&lt;=100),"Level 4",""),""))</f>
        <v/>
      </c>
      <c r="U11" s="11"/>
      <c r="V11" s="13" t="str">
        <f>IF(TRIM(U11&amp;"")="","",IFERROR(IF(AND(VALUE(U11&amp;"")&gt;=0,VALUE(U11&amp;"")&lt;=39.99),"Level 1","")&amp;IF(AND(VALUE(U11&amp;"")&gt;=40,VALUE(U11&amp;"")&lt;=59.99),"Level 2","")&amp;IF(AND(VALUE(U11&amp;"")&gt;=60,VALUE(U11&amp;"")&lt;=79.99),"Level 3","")&amp;IF(AND(VALUE(U11&amp;"")&gt;=80,VALUE(U11&amp;"")&lt;=100),"Level 4",""),""))</f>
        <v/>
      </c>
      <c r="W11" s="11"/>
      <c r="X11" s="13" t="str">
        <f>IF(TRIM(W11&amp;"")="","",IFERROR(IF(AND(VALUE(W11&amp;"")&gt;=0,VALUE(W11&amp;"")&lt;=39.99),"Level 1","")&amp;IF(AND(VALUE(W11&amp;"")&gt;=40,VALUE(W11&amp;"")&lt;=59.99),"Level 2","")&amp;IF(AND(VALUE(W11&amp;"")&gt;=60,VALUE(W11&amp;"")&lt;=79.99),"Level 3","")&amp;IF(AND(VALUE(W11&amp;"")&gt;=80,VALUE(W11&amp;"")&lt;=100),"Level 4",""),""))</f>
        <v/>
      </c>
      <c r="Y11" s="11"/>
      <c r="Z11" s="13" t="str">
        <f>IF(TRIM(Y11&amp;"")="","",IFERROR(IF(AND(VALUE(Y11&amp;"")&gt;=0,VALUE(Y11&amp;"")&lt;=39.99),"Level 1","")&amp;IF(AND(VALUE(Y11&amp;"")&gt;=40,VALUE(Y11&amp;"")&lt;=59.99),"Level 2","")&amp;IF(AND(VALUE(Y11&amp;"")&gt;=60,VALUE(Y11&amp;"")&lt;=79.99),"Level 3","")&amp;IF(AND(VALUE(Y11&amp;"")&gt;=80,VALUE(Y11&amp;"")&lt;=100),"Level 4",""),""))</f>
        <v/>
      </c>
      <c r="AA11" s="11"/>
      <c r="AB11" s="13" t="str">
        <f>IF(TRIM(AA11&amp;"")="","",IFERROR(IF(AND(VALUE(AA11&amp;"")&gt;=0,VALUE(AA11&amp;"")&lt;=39.99),"Level 1","")&amp;IF(AND(VALUE(AA11&amp;"")&gt;=40,VALUE(AA11&amp;"")&lt;=59.99),"Level 2","")&amp;IF(AND(VALUE(AA11&amp;"")&gt;=60,VALUE(AA11&amp;"")&lt;=79.99),"Level 3","")&amp;IF(AND(VALUE(AA11&amp;"")&gt;=80,VALUE(AA11&amp;"")&lt;=100),"Level 4",""),""))</f>
        <v/>
      </c>
      <c r="AC11" s="13" t="str">
        <f>IF(((TRIM(S11&amp;"")&lt;&gt;"")+(TRIM(U11&amp;"")&lt;&gt;"")+(TRIM(W11&amp;"")&lt;&gt;"")+(TRIM(Y11&amp;"")&lt;&gt;"")+(TRIM(AA11&amp;"")&lt;&gt;""))=0,"",IF(AND(((IFERROR(VALUE(S11&amp;""),0)+IFERROR(VALUE(U11&amp;""),0)+IFERROR(VALUE(W11&amp;""),0)+IFERROR(VALUE(Y11&amp;""),0)+IFERROR(VALUE(AA11&amp;""),0))/500*100)&gt;=80,((IFERROR(VALUE(S11&amp;""),0)+IFERROR(VALUE(U11&amp;""),0)+IFERROR(VALUE(W11&amp;""),0)+IFERROR(VALUE(Y11&amp;""),0)+IFERROR(VALUE(AA11&amp;""),0))/500*100)&lt;=100),"EXCELLENT","")&amp;IF(AND(((IFERROR(VALUE(S11&amp;""),0)+IFERROR(VALUE(U11&amp;""),0)+IFERROR(VALUE(W11&amp;""),0)+IFERROR(VALUE(Y11&amp;""),0)+IFERROR(VALUE(AA11&amp;""),0))/500*100)&gt;=60,((IFERROR(VALUE(S11&amp;""),0)+IFERROR(VALUE(U11&amp;""),0)+IFERROR(VALUE(W11&amp;""),0)+IFERROR(VALUE(Y11&amp;""),0)+IFERROR(VALUE(AA11&amp;""),0))/500*100)&lt;=79.99),"GOOD","")&amp;IF(AND(((IFERROR(VALUE(S11&amp;""),0)+IFERROR(VALUE(U11&amp;""),0)+IFERROR(VALUE(W11&amp;""),0)+IFERROR(VALUE(Y11&amp;""),0)+IFERROR(VALUE(AA11&amp;""),0))/500*100)&gt;=40,((IFERROR(VALUE(S11&amp;""),0)+IFERROR(VALUE(U11&amp;""),0)+IFERROR(VALUE(W11&amp;""),0)+IFERROR(VALUE(Y11&amp;""),0)+IFERROR(VALUE(AA11&amp;""),0))/500*100)&lt;=59.99),"AVERAGE","")&amp;IF(AND(((IFERROR(VALUE(S11&amp;""),0)+IFERROR(VALUE(U11&amp;""),0)+IFERROR(VALUE(W11&amp;""),0)+IFERROR(VALUE(Y11&amp;""),0)+IFERROR(VALUE(AA11&amp;""),0))/500*100)&gt;=0,((IFERROR(VALUE(S11&amp;""),0)+IFERROR(VALUE(U11&amp;""),0)+IFERROR(VALUE(W11&amp;""),0)+IFERROR(VALUE(Y11&amp;""),0)+IFERROR(VALUE(AA11&amp;""),0))/500*100)&lt;=39.99),"NEEDS SUPPORT",""))</f>
        <v/>
      </c>
      <c r="AD11" s="11"/>
      <c r="AE11" s="13" t="str">
        <f>IF(TRIM(AD11&amp;"")="","",IFERROR(IF(AND(VALUE(AD11&amp;"")&gt;=0,VALUE(AD11&amp;"")&lt;=39.99),"Level 1","")&amp;IF(AND(VALUE(AD11&amp;"")&gt;=40,VALUE(AD11&amp;"")&lt;=59.99),"Level 2","")&amp;IF(AND(VALUE(AD11&amp;"")&gt;=60,VALUE(AD11&amp;"")&lt;=79.99),"Level 3","")&amp;IF(AND(VALUE(AD11&amp;"")&gt;=80,VALUE(AD11&amp;"")&lt;=100),"Level 4",""),""))</f>
        <v/>
      </c>
      <c r="AF11" s="11"/>
      <c r="AG11" s="13" t="str">
        <f>IF(TRIM(AF11&amp;"")="","",IFERROR(IF(AND(VALUE(AF11&amp;"")&gt;=0,VALUE(AF11&amp;"")&lt;=39.99),"Level 1","")&amp;IF(AND(VALUE(AF11&amp;"")&gt;=40,VALUE(AF11&amp;"")&lt;=59.99),"Level 2","")&amp;IF(AND(VALUE(AF11&amp;"")&gt;=60,VALUE(AF11&amp;"")&lt;=79.99),"Level 3","")&amp;IF(AND(VALUE(AF11&amp;"")&gt;=80,VALUE(AF11&amp;"")&lt;=100),"Level 4",""),""))</f>
        <v/>
      </c>
      <c r="AH11" s="11"/>
      <c r="AI11" s="13" t="str">
        <f>IF(TRIM(AH11&amp;"")="","",IFERROR(IF(AND(VALUE(AH11&amp;"")&gt;=0,VALUE(AH11&amp;"")&lt;=39.99),"Level 1","")&amp;IF(AND(VALUE(AH11&amp;"")&gt;=40,VALUE(AH11&amp;"")&lt;=59.99),"Level 2","")&amp;IF(AND(VALUE(AH11&amp;"")&gt;=60,VALUE(AH11&amp;"")&lt;=79.99),"Level 3","")&amp;IF(AND(VALUE(AH11&amp;"")&gt;=80,VALUE(AH11&amp;"")&lt;=100),"Level 4",""),""))</f>
        <v/>
      </c>
      <c r="AJ11" s="11"/>
      <c r="AK11" s="13" t="str">
        <f>IF(TRIM(AJ11&amp;"")="","",IFERROR(IF(AND(VALUE(AJ11&amp;"")&gt;=0,VALUE(AJ11&amp;"")&lt;=39.99),"Level 1","")&amp;IF(AND(VALUE(AJ11&amp;"")&gt;=40,VALUE(AJ11&amp;"")&lt;=59.99),"Level 2","")&amp;IF(AND(VALUE(AJ11&amp;"")&gt;=60,VALUE(AJ11&amp;"")&lt;=79.99),"Level 3","")&amp;IF(AND(VALUE(AJ11&amp;"")&gt;=80,VALUE(AJ11&amp;"")&lt;=100),"Level 4",""),""))</f>
        <v/>
      </c>
      <c r="AL11" s="11"/>
      <c r="AM11" s="13" t="str">
        <f>IF(TRIM(AL11&amp;"")="","",IFERROR(IF(AND(VALUE(AL11&amp;"")&gt;=0,VALUE(AL11&amp;"")&lt;=39.99),"Level 1","")&amp;IF(AND(VALUE(AL11&amp;"")&gt;=40,VALUE(AL11&amp;"")&lt;=59.99),"Level 2","")&amp;IF(AND(VALUE(AL11&amp;"")&gt;=60,VALUE(AL11&amp;"")&lt;=79.99),"Level 3","")&amp;IF(AND(VALUE(AL11&amp;"")&gt;=80,VALUE(AL11&amp;"")&lt;=100),"Level 4",""),""))</f>
        <v/>
      </c>
      <c r="AN11" s="13" t="str">
        <f>IF(((TRIM(AD11&amp;"")&lt;&gt;"")+(TRIM(AF11&amp;"")&lt;&gt;"")+(TRIM(AH11&amp;"")&lt;&gt;"")+(TRIM(AJ11&amp;"")&lt;&gt;"")+(TRIM(AL11&amp;"")&lt;&gt;""))=0,"",IF(AND(((IFERROR(VALUE(AD11&amp;""),0)+IFERROR(VALUE(AF11&amp;""),0)+IFERROR(VALUE(AH11&amp;""),0)+IFERROR(VALUE(AJ11&amp;""),0)+IFERROR(VALUE(AL11&amp;""),0))/500*100)&gt;=80,((IFERROR(VALUE(AD11&amp;""),0)+IFERROR(VALUE(AF11&amp;""),0)+IFERROR(VALUE(AH11&amp;""),0)+IFERROR(VALUE(AJ11&amp;""),0)+IFERROR(VALUE(AL11&amp;""),0))/500*100)&lt;=100),"EXCELLENT","")&amp;IF(AND(((IFERROR(VALUE(AD11&amp;""),0)+IFERROR(VALUE(AF11&amp;""),0)+IFERROR(VALUE(AH11&amp;""),0)+IFERROR(VALUE(AJ11&amp;""),0)+IFERROR(VALUE(AL11&amp;""),0))/500*100)&gt;=60,((IFERROR(VALUE(AD11&amp;""),0)+IFERROR(VALUE(AF11&amp;""),0)+IFERROR(VALUE(AH11&amp;""),0)+IFERROR(VALUE(AJ11&amp;""),0)+IFERROR(VALUE(AL11&amp;""),0))/500*100)&lt;=79.99),"GOOD","")&amp;IF(AND(((IFERROR(VALUE(AD11&amp;""),0)+IFERROR(VALUE(AF11&amp;""),0)+IFERROR(VALUE(AH11&amp;""),0)+IFERROR(VALUE(AJ11&amp;""),0)+IFERROR(VALUE(AL11&amp;""),0))/500*100)&gt;=40,((IFERROR(VALUE(AD11&amp;""),0)+IFERROR(VALUE(AF11&amp;""),0)+IFERROR(VALUE(AH11&amp;""),0)+IFERROR(VALUE(AJ11&amp;""),0)+IFERROR(VALUE(AL11&amp;""),0))/500*100)&lt;=59.99),"AVERAGE","")&amp;IF(AND(((IFERROR(VALUE(AD11&amp;""),0)+IFERROR(VALUE(AF11&amp;""),0)+IFERROR(VALUE(AH11&amp;""),0)+IFERROR(VALUE(AJ11&amp;""),0)+IFERROR(VALUE(AL11&amp;""),0))/500*100)&gt;=0,((IFERROR(VALUE(AD11&amp;""),0)+IFERROR(VALUE(AF11&amp;""),0)+IFERROR(VALUE(AH11&amp;""),0)+IFERROR(VALUE(AJ11&amp;""),0)+IFERROR(VALUE(AL11&amp;""),0))/500*100)&lt;=39.99),"NEEDS SUPPORT",""))</f>
        <v/>
      </c>
      <c r="AO11" s="10" t="s">
        <v>135</v>
      </c>
      <c r="AP11" s="10" t="s">
        <v>136</v>
      </c>
      <c r="AQ11" s="10" t="s">
        <v>95</v>
      </c>
    </row>
    <row r="12" spans="1:43" x14ac:dyDescent="0.25">
      <c r="A12" s="10" t="s">
        <v>137</v>
      </c>
      <c r="B12" s="10" t="s">
        <v>3</v>
      </c>
      <c r="C12" s="10" t="s">
        <v>7</v>
      </c>
      <c r="D12" s="10" t="s">
        <v>138</v>
      </c>
      <c r="E12" s="10" t="s">
        <v>139</v>
      </c>
      <c r="F12" s="10" t="s">
        <v>128</v>
      </c>
      <c r="G12" s="10" t="s">
        <v>8</v>
      </c>
      <c r="H12" s="11"/>
      <c r="I12" s="13" t="str">
        <f>IF(TRIM(H12&amp;"")="","",IFERROR(IF(AND(VALUE(H12&amp;"")&gt;=0,VALUE(H12&amp;"")&lt;=39.99),"Level 1","")&amp;IF(AND(VALUE(H12&amp;"")&gt;=40,VALUE(H12&amp;"")&lt;=59.99),"Level 2","")&amp;IF(AND(VALUE(H12&amp;"")&gt;=60,VALUE(H12&amp;"")&lt;=79.99),"Level 3","")&amp;IF(AND(VALUE(H12&amp;"")&gt;=80,VALUE(H12&amp;"")&lt;=100),"Level 4",""),""))</f>
        <v/>
      </c>
      <c r="J12" s="11"/>
      <c r="K12" s="13" t="str">
        <f>IF(TRIM(J12&amp;"")="","",IFERROR(IF(AND(VALUE(J12&amp;"")&gt;=0,VALUE(J12&amp;"")&lt;=39.99),"Level 1","")&amp;IF(AND(VALUE(J12&amp;"")&gt;=40,VALUE(J12&amp;"")&lt;=59.99),"Level 2","")&amp;IF(AND(VALUE(J12&amp;"")&gt;=60,VALUE(J12&amp;"")&lt;=79.99),"Level 3","")&amp;IF(AND(VALUE(J12&amp;"")&gt;=80,VALUE(J12&amp;"")&lt;=100),"Level 4",""),""))</f>
        <v/>
      </c>
      <c r="L12" s="11"/>
      <c r="M12" s="13" t="str">
        <f>IF(TRIM(L12&amp;"")="","",IFERROR(IF(AND(VALUE(L12&amp;"")&gt;=0,VALUE(L12&amp;"")&lt;=39.99),"Level 1","")&amp;IF(AND(VALUE(L12&amp;"")&gt;=40,VALUE(L12&amp;"")&lt;=59.99),"Level 2","")&amp;IF(AND(VALUE(L12&amp;"")&gt;=60,VALUE(L12&amp;"")&lt;=79.99),"Level 3","")&amp;IF(AND(VALUE(L12&amp;"")&gt;=80,VALUE(L12&amp;"")&lt;=100),"Level 4",""),""))</f>
        <v/>
      </c>
      <c r="N12" s="11"/>
      <c r="O12" s="13" t="str">
        <f>IF(TRIM(N12&amp;"")="","",IFERROR(IF(AND(VALUE(N12&amp;"")&gt;=0,VALUE(N12&amp;"")&lt;=39.99),"Level 1","")&amp;IF(AND(VALUE(N12&amp;"")&gt;=40,VALUE(N12&amp;"")&lt;=59.99),"Level 2","")&amp;IF(AND(VALUE(N12&amp;"")&gt;=60,VALUE(N12&amp;"")&lt;=79.99),"Level 3","")&amp;IF(AND(VALUE(N12&amp;"")&gt;=80,VALUE(N12&amp;"")&lt;=100),"Level 4",""),""))</f>
        <v/>
      </c>
      <c r="P12" s="11"/>
      <c r="Q12" s="13" t="str">
        <f>IF(TRIM(P12&amp;"")="","",IFERROR(IF(AND(VALUE(P12&amp;"")&gt;=0,VALUE(P12&amp;"")&lt;=39.99),"Level 1","")&amp;IF(AND(VALUE(P12&amp;"")&gt;=40,VALUE(P12&amp;"")&lt;=59.99),"Level 2","")&amp;IF(AND(VALUE(P12&amp;"")&gt;=60,VALUE(P12&amp;"")&lt;=79.99),"Level 3","")&amp;IF(AND(VALUE(P12&amp;"")&gt;=80,VALUE(P12&amp;"")&lt;=100),"Level 4",""),""))</f>
        <v/>
      </c>
      <c r="R12" s="13" t="str">
        <f>IF(((TRIM(H12&amp;"")&lt;&gt;"")+(TRIM(J12&amp;"")&lt;&gt;"")+(TRIM(L12&amp;"")&lt;&gt;"")+(TRIM(N12&amp;"")&lt;&gt;"")+(TRIM(P12&amp;"")&lt;&gt;""))=0,"",IF(AND(((IFERROR(VALUE(H12&amp;""),0)+IFERROR(VALUE(J12&amp;""),0)+IFERROR(VALUE(L12&amp;""),0)+IFERROR(VALUE(N12&amp;""),0)+IFERROR(VALUE(P12&amp;""),0))/500*100)&gt;=80,((IFERROR(VALUE(H12&amp;""),0)+IFERROR(VALUE(J12&amp;""),0)+IFERROR(VALUE(L12&amp;""),0)+IFERROR(VALUE(N12&amp;""),0)+IFERROR(VALUE(P12&amp;""),0))/500*100)&lt;=100),"EXCELLENT","")&amp;IF(AND(((IFERROR(VALUE(H12&amp;""),0)+IFERROR(VALUE(J12&amp;""),0)+IFERROR(VALUE(L12&amp;""),0)+IFERROR(VALUE(N12&amp;""),0)+IFERROR(VALUE(P12&amp;""),0))/500*100)&gt;=60,((IFERROR(VALUE(H12&amp;""),0)+IFERROR(VALUE(J12&amp;""),0)+IFERROR(VALUE(L12&amp;""),0)+IFERROR(VALUE(N12&amp;""),0)+IFERROR(VALUE(P12&amp;""),0))/500*100)&lt;=79.99),"GOOD","")&amp;IF(AND(((IFERROR(VALUE(H12&amp;""),0)+IFERROR(VALUE(J12&amp;""),0)+IFERROR(VALUE(L12&amp;""),0)+IFERROR(VALUE(N12&amp;""),0)+IFERROR(VALUE(P12&amp;""),0))/500*100)&gt;=40,((IFERROR(VALUE(H12&amp;""),0)+IFERROR(VALUE(J12&amp;""),0)+IFERROR(VALUE(L12&amp;""),0)+IFERROR(VALUE(N12&amp;""),0)+IFERROR(VALUE(P12&amp;""),0))/500*100)&lt;=59.99),"AVERAGE","")&amp;IF(AND(((IFERROR(VALUE(H12&amp;""),0)+IFERROR(VALUE(J12&amp;""),0)+IFERROR(VALUE(L12&amp;""),0)+IFERROR(VALUE(N12&amp;""),0)+IFERROR(VALUE(P12&amp;""),0))/500*100)&gt;=0,((IFERROR(VALUE(H12&amp;""),0)+IFERROR(VALUE(J12&amp;""),0)+IFERROR(VALUE(L12&amp;""),0)+IFERROR(VALUE(N12&amp;""),0)+IFERROR(VALUE(P12&amp;""),0))/500*100)&lt;=39.99),"NEEDS SUPPORT",""))</f>
        <v/>
      </c>
      <c r="S12" s="11"/>
      <c r="T12" s="13" t="str">
        <f>IF(TRIM(S12&amp;"")="","",IFERROR(IF(AND(VALUE(S12&amp;"")&gt;=0,VALUE(S12&amp;"")&lt;=39.99),"Level 1","")&amp;IF(AND(VALUE(S12&amp;"")&gt;=40,VALUE(S12&amp;"")&lt;=59.99),"Level 2","")&amp;IF(AND(VALUE(S12&amp;"")&gt;=60,VALUE(S12&amp;"")&lt;=79.99),"Level 3","")&amp;IF(AND(VALUE(S12&amp;"")&gt;=80,VALUE(S12&amp;"")&lt;=100),"Level 4",""),""))</f>
        <v/>
      </c>
      <c r="U12" s="11"/>
      <c r="V12" s="13" t="str">
        <f>IF(TRIM(U12&amp;"")="","",IFERROR(IF(AND(VALUE(U12&amp;"")&gt;=0,VALUE(U12&amp;"")&lt;=39.99),"Level 1","")&amp;IF(AND(VALUE(U12&amp;"")&gt;=40,VALUE(U12&amp;"")&lt;=59.99),"Level 2","")&amp;IF(AND(VALUE(U12&amp;"")&gt;=60,VALUE(U12&amp;"")&lt;=79.99),"Level 3","")&amp;IF(AND(VALUE(U12&amp;"")&gt;=80,VALUE(U12&amp;"")&lt;=100),"Level 4",""),""))</f>
        <v/>
      </c>
      <c r="W12" s="11"/>
      <c r="X12" s="13" t="str">
        <f>IF(TRIM(W12&amp;"")="","",IFERROR(IF(AND(VALUE(W12&amp;"")&gt;=0,VALUE(W12&amp;"")&lt;=39.99),"Level 1","")&amp;IF(AND(VALUE(W12&amp;"")&gt;=40,VALUE(W12&amp;"")&lt;=59.99),"Level 2","")&amp;IF(AND(VALUE(W12&amp;"")&gt;=60,VALUE(W12&amp;"")&lt;=79.99),"Level 3","")&amp;IF(AND(VALUE(W12&amp;"")&gt;=80,VALUE(W12&amp;"")&lt;=100),"Level 4",""),""))</f>
        <v/>
      </c>
      <c r="Y12" s="11"/>
      <c r="Z12" s="13" t="str">
        <f>IF(TRIM(Y12&amp;"")="","",IFERROR(IF(AND(VALUE(Y12&amp;"")&gt;=0,VALUE(Y12&amp;"")&lt;=39.99),"Level 1","")&amp;IF(AND(VALUE(Y12&amp;"")&gt;=40,VALUE(Y12&amp;"")&lt;=59.99),"Level 2","")&amp;IF(AND(VALUE(Y12&amp;"")&gt;=60,VALUE(Y12&amp;"")&lt;=79.99),"Level 3","")&amp;IF(AND(VALUE(Y12&amp;"")&gt;=80,VALUE(Y12&amp;"")&lt;=100),"Level 4",""),""))</f>
        <v/>
      </c>
      <c r="AA12" s="11"/>
      <c r="AB12" s="13" t="str">
        <f>IF(TRIM(AA12&amp;"")="","",IFERROR(IF(AND(VALUE(AA12&amp;"")&gt;=0,VALUE(AA12&amp;"")&lt;=39.99),"Level 1","")&amp;IF(AND(VALUE(AA12&amp;"")&gt;=40,VALUE(AA12&amp;"")&lt;=59.99),"Level 2","")&amp;IF(AND(VALUE(AA12&amp;"")&gt;=60,VALUE(AA12&amp;"")&lt;=79.99),"Level 3","")&amp;IF(AND(VALUE(AA12&amp;"")&gt;=80,VALUE(AA12&amp;"")&lt;=100),"Level 4",""),""))</f>
        <v/>
      </c>
      <c r="AC12" s="13" t="str">
        <f>IF(((TRIM(S12&amp;"")&lt;&gt;"")+(TRIM(U12&amp;"")&lt;&gt;"")+(TRIM(W12&amp;"")&lt;&gt;"")+(TRIM(Y12&amp;"")&lt;&gt;"")+(TRIM(AA12&amp;"")&lt;&gt;""))=0,"",IF(AND(((IFERROR(VALUE(S12&amp;""),0)+IFERROR(VALUE(U12&amp;""),0)+IFERROR(VALUE(W12&amp;""),0)+IFERROR(VALUE(Y12&amp;""),0)+IFERROR(VALUE(AA12&amp;""),0))/500*100)&gt;=80,((IFERROR(VALUE(S12&amp;""),0)+IFERROR(VALUE(U12&amp;""),0)+IFERROR(VALUE(W12&amp;""),0)+IFERROR(VALUE(Y12&amp;""),0)+IFERROR(VALUE(AA12&amp;""),0))/500*100)&lt;=100),"EXCELLENT","")&amp;IF(AND(((IFERROR(VALUE(S12&amp;""),0)+IFERROR(VALUE(U12&amp;""),0)+IFERROR(VALUE(W12&amp;""),0)+IFERROR(VALUE(Y12&amp;""),0)+IFERROR(VALUE(AA12&amp;""),0))/500*100)&gt;=60,((IFERROR(VALUE(S12&amp;""),0)+IFERROR(VALUE(U12&amp;""),0)+IFERROR(VALUE(W12&amp;""),0)+IFERROR(VALUE(Y12&amp;""),0)+IFERROR(VALUE(AA12&amp;""),0))/500*100)&lt;=79.99),"GOOD","")&amp;IF(AND(((IFERROR(VALUE(S12&amp;""),0)+IFERROR(VALUE(U12&amp;""),0)+IFERROR(VALUE(W12&amp;""),0)+IFERROR(VALUE(Y12&amp;""),0)+IFERROR(VALUE(AA12&amp;""),0))/500*100)&gt;=40,((IFERROR(VALUE(S12&amp;""),0)+IFERROR(VALUE(U12&amp;""),0)+IFERROR(VALUE(W12&amp;""),0)+IFERROR(VALUE(Y12&amp;""),0)+IFERROR(VALUE(AA12&amp;""),0))/500*100)&lt;=59.99),"AVERAGE","")&amp;IF(AND(((IFERROR(VALUE(S12&amp;""),0)+IFERROR(VALUE(U12&amp;""),0)+IFERROR(VALUE(W12&amp;""),0)+IFERROR(VALUE(Y12&amp;""),0)+IFERROR(VALUE(AA12&amp;""),0))/500*100)&gt;=0,((IFERROR(VALUE(S12&amp;""),0)+IFERROR(VALUE(U12&amp;""),0)+IFERROR(VALUE(W12&amp;""),0)+IFERROR(VALUE(Y12&amp;""),0)+IFERROR(VALUE(AA12&amp;""),0))/500*100)&lt;=39.99),"NEEDS SUPPORT",""))</f>
        <v/>
      </c>
      <c r="AD12" s="11"/>
      <c r="AE12" s="13" t="str">
        <f>IF(TRIM(AD12&amp;"")="","",IFERROR(IF(AND(VALUE(AD12&amp;"")&gt;=0,VALUE(AD12&amp;"")&lt;=39.99),"Level 1","")&amp;IF(AND(VALUE(AD12&amp;"")&gt;=40,VALUE(AD12&amp;"")&lt;=59.99),"Level 2","")&amp;IF(AND(VALUE(AD12&amp;"")&gt;=60,VALUE(AD12&amp;"")&lt;=79.99),"Level 3","")&amp;IF(AND(VALUE(AD12&amp;"")&gt;=80,VALUE(AD12&amp;"")&lt;=100),"Level 4",""),""))</f>
        <v/>
      </c>
      <c r="AF12" s="11"/>
      <c r="AG12" s="13" t="str">
        <f>IF(TRIM(AF12&amp;"")="","",IFERROR(IF(AND(VALUE(AF12&amp;"")&gt;=0,VALUE(AF12&amp;"")&lt;=39.99),"Level 1","")&amp;IF(AND(VALUE(AF12&amp;"")&gt;=40,VALUE(AF12&amp;"")&lt;=59.99),"Level 2","")&amp;IF(AND(VALUE(AF12&amp;"")&gt;=60,VALUE(AF12&amp;"")&lt;=79.99),"Level 3","")&amp;IF(AND(VALUE(AF12&amp;"")&gt;=80,VALUE(AF12&amp;"")&lt;=100),"Level 4",""),""))</f>
        <v/>
      </c>
      <c r="AH12" s="11"/>
      <c r="AI12" s="13" t="str">
        <f>IF(TRIM(AH12&amp;"")="","",IFERROR(IF(AND(VALUE(AH12&amp;"")&gt;=0,VALUE(AH12&amp;"")&lt;=39.99),"Level 1","")&amp;IF(AND(VALUE(AH12&amp;"")&gt;=40,VALUE(AH12&amp;"")&lt;=59.99),"Level 2","")&amp;IF(AND(VALUE(AH12&amp;"")&gt;=60,VALUE(AH12&amp;"")&lt;=79.99),"Level 3","")&amp;IF(AND(VALUE(AH12&amp;"")&gt;=80,VALUE(AH12&amp;"")&lt;=100),"Level 4",""),""))</f>
        <v/>
      </c>
      <c r="AJ12" s="11"/>
      <c r="AK12" s="13" t="str">
        <f>IF(TRIM(AJ12&amp;"")="","",IFERROR(IF(AND(VALUE(AJ12&amp;"")&gt;=0,VALUE(AJ12&amp;"")&lt;=39.99),"Level 1","")&amp;IF(AND(VALUE(AJ12&amp;"")&gt;=40,VALUE(AJ12&amp;"")&lt;=59.99),"Level 2","")&amp;IF(AND(VALUE(AJ12&amp;"")&gt;=60,VALUE(AJ12&amp;"")&lt;=79.99),"Level 3","")&amp;IF(AND(VALUE(AJ12&amp;"")&gt;=80,VALUE(AJ12&amp;"")&lt;=100),"Level 4",""),""))</f>
        <v/>
      </c>
      <c r="AL12" s="11"/>
      <c r="AM12" s="13" t="str">
        <f>IF(TRIM(AL12&amp;"")="","",IFERROR(IF(AND(VALUE(AL12&amp;"")&gt;=0,VALUE(AL12&amp;"")&lt;=39.99),"Level 1","")&amp;IF(AND(VALUE(AL12&amp;"")&gt;=40,VALUE(AL12&amp;"")&lt;=59.99),"Level 2","")&amp;IF(AND(VALUE(AL12&amp;"")&gt;=60,VALUE(AL12&amp;"")&lt;=79.99),"Level 3","")&amp;IF(AND(VALUE(AL12&amp;"")&gt;=80,VALUE(AL12&amp;"")&lt;=100),"Level 4",""),""))</f>
        <v/>
      </c>
      <c r="AN12" s="13" t="str">
        <f>IF(((TRIM(AD12&amp;"")&lt;&gt;"")+(TRIM(AF12&amp;"")&lt;&gt;"")+(TRIM(AH12&amp;"")&lt;&gt;"")+(TRIM(AJ12&amp;"")&lt;&gt;"")+(TRIM(AL12&amp;"")&lt;&gt;""))=0,"",IF(AND(((IFERROR(VALUE(AD12&amp;""),0)+IFERROR(VALUE(AF12&amp;""),0)+IFERROR(VALUE(AH12&amp;""),0)+IFERROR(VALUE(AJ12&amp;""),0)+IFERROR(VALUE(AL12&amp;""),0))/500*100)&gt;=80,((IFERROR(VALUE(AD12&amp;""),0)+IFERROR(VALUE(AF12&amp;""),0)+IFERROR(VALUE(AH12&amp;""),0)+IFERROR(VALUE(AJ12&amp;""),0)+IFERROR(VALUE(AL12&amp;""),0))/500*100)&lt;=100),"EXCELLENT","")&amp;IF(AND(((IFERROR(VALUE(AD12&amp;""),0)+IFERROR(VALUE(AF12&amp;""),0)+IFERROR(VALUE(AH12&amp;""),0)+IFERROR(VALUE(AJ12&amp;""),0)+IFERROR(VALUE(AL12&amp;""),0))/500*100)&gt;=60,((IFERROR(VALUE(AD12&amp;""),0)+IFERROR(VALUE(AF12&amp;""),0)+IFERROR(VALUE(AH12&amp;""),0)+IFERROR(VALUE(AJ12&amp;""),0)+IFERROR(VALUE(AL12&amp;""),0))/500*100)&lt;=79.99),"GOOD","")&amp;IF(AND(((IFERROR(VALUE(AD12&amp;""),0)+IFERROR(VALUE(AF12&amp;""),0)+IFERROR(VALUE(AH12&amp;""),0)+IFERROR(VALUE(AJ12&amp;""),0)+IFERROR(VALUE(AL12&amp;""),0))/500*100)&gt;=40,((IFERROR(VALUE(AD12&amp;""),0)+IFERROR(VALUE(AF12&amp;""),0)+IFERROR(VALUE(AH12&amp;""),0)+IFERROR(VALUE(AJ12&amp;""),0)+IFERROR(VALUE(AL12&amp;""),0))/500*100)&lt;=59.99),"AVERAGE","")&amp;IF(AND(((IFERROR(VALUE(AD12&amp;""),0)+IFERROR(VALUE(AF12&amp;""),0)+IFERROR(VALUE(AH12&amp;""),0)+IFERROR(VALUE(AJ12&amp;""),0)+IFERROR(VALUE(AL12&amp;""),0))/500*100)&gt;=0,((IFERROR(VALUE(AD12&amp;""),0)+IFERROR(VALUE(AF12&amp;""),0)+IFERROR(VALUE(AH12&amp;""),0)+IFERROR(VALUE(AJ12&amp;""),0)+IFERROR(VALUE(AL12&amp;""),0))/500*100)&lt;=39.99),"NEEDS SUPPORT",""))</f>
        <v/>
      </c>
      <c r="AO12" s="10" t="s">
        <v>140</v>
      </c>
      <c r="AP12" s="10" t="s">
        <v>141</v>
      </c>
      <c r="AQ12" s="10" t="s">
        <v>95</v>
      </c>
    </row>
    <row r="13" spans="1:43" x14ac:dyDescent="0.25">
      <c r="A13" s="10" t="s">
        <v>142</v>
      </c>
      <c r="B13" s="10" t="s">
        <v>3</v>
      </c>
      <c r="C13" s="10" t="s">
        <v>7</v>
      </c>
      <c r="D13" s="10" t="s">
        <v>143</v>
      </c>
      <c r="E13" s="10" t="s">
        <v>144</v>
      </c>
      <c r="F13" s="10" t="s">
        <v>145</v>
      </c>
      <c r="G13" s="10" t="s">
        <v>5</v>
      </c>
      <c r="H13" s="11"/>
      <c r="I13" s="13" t="str">
        <f>IF(TRIM(H13&amp;"")="","",IFERROR(IF(AND(VALUE(H13&amp;"")&gt;=0,VALUE(H13&amp;"")&lt;=39.99),"Level 1","")&amp;IF(AND(VALUE(H13&amp;"")&gt;=40,VALUE(H13&amp;"")&lt;=59.99),"Level 2","")&amp;IF(AND(VALUE(H13&amp;"")&gt;=60,VALUE(H13&amp;"")&lt;=79.99),"Level 3","")&amp;IF(AND(VALUE(H13&amp;"")&gt;=80,VALUE(H13&amp;"")&lt;=100),"Level 4",""),""))</f>
        <v/>
      </c>
      <c r="J13" s="11"/>
      <c r="K13" s="13" t="str">
        <f>IF(TRIM(J13&amp;"")="","",IFERROR(IF(AND(VALUE(J13&amp;"")&gt;=0,VALUE(J13&amp;"")&lt;=39.99),"Level 1","")&amp;IF(AND(VALUE(J13&amp;"")&gt;=40,VALUE(J13&amp;"")&lt;=59.99),"Level 2","")&amp;IF(AND(VALUE(J13&amp;"")&gt;=60,VALUE(J13&amp;"")&lt;=79.99),"Level 3","")&amp;IF(AND(VALUE(J13&amp;"")&gt;=80,VALUE(J13&amp;"")&lt;=100),"Level 4",""),""))</f>
        <v/>
      </c>
      <c r="L13" s="11"/>
      <c r="M13" s="13" t="str">
        <f>IF(TRIM(L13&amp;"")="","",IFERROR(IF(AND(VALUE(L13&amp;"")&gt;=0,VALUE(L13&amp;"")&lt;=39.99),"Level 1","")&amp;IF(AND(VALUE(L13&amp;"")&gt;=40,VALUE(L13&amp;"")&lt;=59.99),"Level 2","")&amp;IF(AND(VALUE(L13&amp;"")&gt;=60,VALUE(L13&amp;"")&lt;=79.99),"Level 3","")&amp;IF(AND(VALUE(L13&amp;"")&gt;=80,VALUE(L13&amp;"")&lt;=100),"Level 4",""),""))</f>
        <v/>
      </c>
      <c r="N13" s="11"/>
      <c r="O13" s="13" t="str">
        <f>IF(TRIM(N13&amp;"")="","",IFERROR(IF(AND(VALUE(N13&amp;"")&gt;=0,VALUE(N13&amp;"")&lt;=39.99),"Level 1","")&amp;IF(AND(VALUE(N13&amp;"")&gt;=40,VALUE(N13&amp;"")&lt;=59.99),"Level 2","")&amp;IF(AND(VALUE(N13&amp;"")&gt;=60,VALUE(N13&amp;"")&lt;=79.99),"Level 3","")&amp;IF(AND(VALUE(N13&amp;"")&gt;=80,VALUE(N13&amp;"")&lt;=100),"Level 4",""),""))</f>
        <v/>
      </c>
      <c r="P13" s="11"/>
      <c r="Q13" s="13" t="str">
        <f>IF(TRIM(P13&amp;"")="","",IFERROR(IF(AND(VALUE(P13&amp;"")&gt;=0,VALUE(P13&amp;"")&lt;=39.99),"Level 1","")&amp;IF(AND(VALUE(P13&amp;"")&gt;=40,VALUE(P13&amp;"")&lt;=59.99),"Level 2","")&amp;IF(AND(VALUE(P13&amp;"")&gt;=60,VALUE(P13&amp;"")&lt;=79.99),"Level 3","")&amp;IF(AND(VALUE(P13&amp;"")&gt;=80,VALUE(P13&amp;"")&lt;=100),"Level 4",""),""))</f>
        <v/>
      </c>
      <c r="R13" s="13" t="str">
        <f>IF(((TRIM(H13&amp;"")&lt;&gt;"")+(TRIM(J13&amp;"")&lt;&gt;"")+(TRIM(L13&amp;"")&lt;&gt;"")+(TRIM(N13&amp;"")&lt;&gt;"")+(TRIM(P13&amp;"")&lt;&gt;""))=0,"",IF(AND(((IFERROR(VALUE(H13&amp;""),0)+IFERROR(VALUE(J13&amp;""),0)+IFERROR(VALUE(L13&amp;""),0)+IFERROR(VALUE(N13&amp;""),0)+IFERROR(VALUE(P13&amp;""),0))/500*100)&gt;=80,((IFERROR(VALUE(H13&amp;""),0)+IFERROR(VALUE(J13&amp;""),0)+IFERROR(VALUE(L13&amp;""),0)+IFERROR(VALUE(N13&amp;""),0)+IFERROR(VALUE(P13&amp;""),0))/500*100)&lt;=100),"EXCELLENT","")&amp;IF(AND(((IFERROR(VALUE(H13&amp;""),0)+IFERROR(VALUE(J13&amp;""),0)+IFERROR(VALUE(L13&amp;""),0)+IFERROR(VALUE(N13&amp;""),0)+IFERROR(VALUE(P13&amp;""),0))/500*100)&gt;=60,((IFERROR(VALUE(H13&amp;""),0)+IFERROR(VALUE(J13&amp;""),0)+IFERROR(VALUE(L13&amp;""),0)+IFERROR(VALUE(N13&amp;""),0)+IFERROR(VALUE(P13&amp;""),0))/500*100)&lt;=79.99),"GOOD","")&amp;IF(AND(((IFERROR(VALUE(H13&amp;""),0)+IFERROR(VALUE(J13&amp;""),0)+IFERROR(VALUE(L13&amp;""),0)+IFERROR(VALUE(N13&amp;""),0)+IFERROR(VALUE(P13&amp;""),0))/500*100)&gt;=40,((IFERROR(VALUE(H13&amp;""),0)+IFERROR(VALUE(J13&amp;""),0)+IFERROR(VALUE(L13&amp;""),0)+IFERROR(VALUE(N13&amp;""),0)+IFERROR(VALUE(P13&amp;""),0))/500*100)&lt;=59.99),"AVERAGE","")&amp;IF(AND(((IFERROR(VALUE(H13&amp;""),0)+IFERROR(VALUE(J13&amp;""),0)+IFERROR(VALUE(L13&amp;""),0)+IFERROR(VALUE(N13&amp;""),0)+IFERROR(VALUE(P13&amp;""),0))/500*100)&gt;=0,((IFERROR(VALUE(H13&amp;""),0)+IFERROR(VALUE(J13&amp;""),0)+IFERROR(VALUE(L13&amp;""),0)+IFERROR(VALUE(N13&amp;""),0)+IFERROR(VALUE(P13&amp;""),0))/500*100)&lt;=39.99),"NEEDS SUPPORT",""))</f>
        <v/>
      </c>
      <c r="S13" s="11"/>
      <c r="T13" s="13" t="str">
        <f>IF(TRIM(S13&amp;"")="","",IFERROR(IF(AND(VALUE(S13&amp;"")&gt;=0,VALUE(S13&amp;"")&lt;=39.99),"Level 1","")&amp;IF(AND(VALUE(S13&amp;"")&gt;=40,VALUE(S13&amp;"")&lt;=59.99),"Level 2","")&amp;IF(AND(VALUE(S13&amp;"")&gt;=60,VALUE(S13&amp;"")&lt;=79.99),"Level 3","")&amp;IF(AND(VALUE(S13&amp;"")&gt;=80,VALUE(S13&amp;"")&lt;=100),"Level 4",""),""))</f>
        <v/>
      </c>
      <c r="U13" s="11"/>
      <c r="V13" s="13" t="str">
        <f>IF(TRIM(U13&amp;"")="","",IFERROR(IF(AND(VALUE(U13&amp;"")&gt;=0,VALUE(U13&amp;"")&lt;=39.99),"Level 1","")&amp;IF(AND(VALUE(U13&amp;"")&gt;=40,VALUE(U13&amp;"")&lt;=59.99),"Level 2","")&amp;IF(AND(VALUE(U13&amp;"")&gt;=60,VALUE(U13&amp;"")&lt;=79.99),"Level 3","")&amp;IF(AND(VALUE(U13&amp;"")&gt;=80,VALUE(U13&amp;"")&lt;=100),"Level 4",""),""))</f>
        <v/>
      </c>
      <c r="W13" s="11"/>
      <c r="X13" s="13" t="str">
        <f>IF(TRIM(W13&amp;"")="","",IFERROR(IF(AND(VALUE(W13&amp;"")&gt;=0,VALUE(W13&amp;"")&lt;=39.99),"Level 1","")&amp;IF(AND(VALUE(W13&amp;"")&gt;=40,VALUE(W13&amp;"")&lt;=59.99),"Level 2","")&amp;IF(AND(VALUE(W13&amp;"")&gt;=60,VALUE(W13&amp;"")&lt;=79.99),"Level 3","")&amp;IF(AND(VALUE(W13&amp;"")&gt;=80,VALUE(W13&amp;"")&lt;=100),"Level 4",""),""))</f>
        <v/>
      </c>
      <c r="Y13" s="11"/>
      <c r="Z13" s="13" t="str">
        <f>IF(TRIM(Y13&amp;"")="","",IFERROR(IF(AND(VALUE(Y13&amp;"")&gt;=0,VALUE(Y13&amp;"")&lt;=39.99),"Level 1","")&amp;IF(AND(VALUE(Y13&amp;"")&gt;=40,VALUE(Y13&amp;"")&lt;=59.99),"Level 2","")&amp;IF(AND(VALUE(Y13&amp;"")&gt;=60,VALUE(Y13&amp;"")&lt;=79.99),"Level 3","")&amp;IF(AND(VALUE(Y13&amp;"")&gt;=80,VALUE(Y13&amp;"")&lt;=100),"Level 4",""),""))</f>
        <v/>
      </c>
      <c r="AA13" s="11"/>
      <c r="AB13" s="13" t="str">
        <f>IF(TRIM(AA13&amp;"")="","",IFERROR(IF(AND(VALUE(AA13&amp;"")&gt;=0,VALUE(AA13&amp;"")&lt;=39.99),"Level 1","")&amp;IF(AND(VALUE(AA13&amp;"")&gt;=40,VALUE(AA13&amp;"")&lt;=59.99),"Level 2","")&amp;IF(AND(VALUE(AA13&amp;"")&gt;=60,VALUE(AA13&amp;"")&lt;=79.99),"Level 3","")&amp;IF(AND(VALUE(AA13&amp;"")&gt;=80,VALUE(AA13&amp;"")&lt;=100),"Level 4",""),""))</f>
        <v/>
      </c>
      <c r="AC13" s="13" t="str">
        <f>IF(((TRIM(S13&amp;"")&lt;&gt;"")+(TRIM(U13&amp;"")&lt;&gt;"")+(TRIM(W13&amp;"")&lt;&gt;"")+(TRIM(Y13&amp;"")&lt;&gt;"")+(TRIM(AA13&amp;"")&lt;&gt;""))=0,"",IF(AND(((IFERROR(VALUE(S13&amp;""),0)+IFERROR(VALUE(U13&amp;""),0)+IFERROR(VALUE(W13&amp;""),0)+IFERROR(VALUE(Y13&amp;""),0)+IFERROR(VALUE(AA13&amp;""),0))/500*100)&gt;=80,((IFERROR(VALUE(S13&amp;""),0)+IFERROR(VALUE(U13&amp;""),0)+IFERROR(VALUE(W13&amp;""),0)+IFERROR(VALUE(Y13&amp;""),0)+IFERROR(VALUE(AA13&amp;""),0))/500*100)&lt;=100),"EXCELLENT","")&amp;IF(AND(((IFERROR(VALUE(S13&amp;""),0)+IFERROR(VALUE(U13&amp;""),0)+IFERROR(VALUE(W13&amp;""),0)+IFERROR(VALUE(Y13&amp;""),0)+IFERROR(VALUE(AA13&amp;""),0))/500*100)&gt;=60,((IFERROR(VALUE(S13&amp;""),0)+IFERROR(VALUE(U13&amp;""),0)+IFERROR(VALUE(W13&amp;""),0)+IFERROR(VALUE(Y13&amp;""),0)+IFERROR(VALUE(AA13&amp;""),0))/500*100)&lt;=79.99),"GOOD","")&amp;IF(AND(((IFERROR(VALUE(S13&amp;""),0)+IFERROR(VALUE(U13&amp;""),0)+IFERROR(VALUE(W13&amp;""),0)+IFERROR(VALUE(Y13&amp;""),0)+IFERROR(VALUE(AA13&amp;""),0))/500*100)&gt;=40,((IFERROR(VALUE(S13&amp;""),0)+IFERROR(VALUE(U13&amp;""),0)+IFERROR(VALUE(W13&amp;""),0)+IFERROR(VALUE(Y13&amp;""),0)+IFERROR(VALUE(AA13&amp;""),0))/500*100)&lt;=59.99),"AVERAGE","")&amp;IF(AND(((IFERROR(VALUE(S13&amp;""),0)+IFERROR(VALUE(U13&amp;""),0)+IFERROR(VALUE(W13&amp;""),0)+IFERROR(VALUE(Y13&amp;""),0)+IFERROR(VALUE(AA13&amp;""),0))/500*100)&gt;=0,((IFERROR(VALUE(S13&amp;""),0)+IFERROR(VALUE(U13&amp;""),0)+IFERROR(VALUE(W13&amp;""),0)+IFERROR(VALUE(Y13&amp;""),0)+IFERROR(VALUE(AA13&amp;""),0))/500*100)&lt;=39.99),"NEEDS SUPPORT",""))</f>
        <v/>
      </c>
      <c r="AD13" s="11"/>
      <c r="AE13" s="13" t="str">
        <f>IF(TRIM(AD13&amp;"")="","",IFERROR(IF(AND(VALUE(AD13&amp;"")&gt;=0,VALUE(AD13&amp;"")&lt;=39.99),"Level 1","")&amp;IF(AND(VALUE(AD13&amp;"")&gt;=40,VALUE(AD13&amp;"")&lt;=59.99),"Level 2","")&amp;IF(AND(VALUE(AD13&amp;"")&gt;=60,VALUE(AD13&amp;"")&lt;=79.99),"Level 3","")&amp;IF(AND(VALUE(AD13&amp;"")&gt;=80,VALUE(AD13&amp;"")&lt;=100),"Level 4",""),""))</f>
        <v/>
      </c>
      <c r="AF13" s="11"/>
      <c r="AG13" s="13" t="str">
        <f>IF(TRIM(AF13&amp;"")="","",IFERROR(IF(AND(VALUE(AF13&amp;"")&gt;=0,VALUE(AF13&amp;"")&lt;=39.99),"Level 1","")&amp;IF(AND(VALUE(AF13&amp;"")&gt;=40,VALUE(AF13&amp;"")&lt;=59.99),"Level 2","")&amp;IF(AND(VALUE(AF13&amp;"")&gt;=60,VALUE(AF13&amp;"")&lt;=79.99),"Level 3","")&amp;IF(AND(VALUE(AF13&amp;"")&gt;=80,VALUE(AF13&amp;"")&lt;=100),"Level 4",""),""))</f>
        <v/>
      </c>
      <c r="AH13" s="11"/>
      <c r="AI13" s="13" t="str">
        <f>IF(TRIM(AH13&amp;"")="","",IFERROR(IF(AND(VALUE(AH13&amp;"")&gt;=0,VALUE(AH13&amp;"")&lt;=39.99),"Level 1","")&amp;IF(AND(VALUE(AH13&amp;"")&gt;=40,VALUE(AH13&amp;"")&lt;=59.99),"Level 2","")&amp;IF(AND(VALUE(AH13&amp;"")&gt;=60,VALUE(AH13&amp;"")&lt;=79.99),"Level 3","")&amp;IF(AND(VALUE(AH13&amp;"")&gt;=80,VALUE(AH13&amp;"")&lt;=100),"Level 4",""),""))</f>
        <v/>
      </c>
      <c r="AJ13" s="11"/>
      <c r="AK13" s="13" t="str">
        <f>IF(TRIM(AJ13&amp;"")="","",IFERROR(IF(AND(VALUE(AJ13&amp;"")&gt;=0,VALUE(AJ13&amp;"")&lt;=39.99),"Level 1","")&amp;IF(AND(VALUE(AJ13&amp;"")&gt;=40,VALUE(AJ13&amp;"")&lt;=59.99),"Level 2","")&amp;IF(AND(VALUE(AJ13&amp;"")&gt;=60,VALUE(AJ13&amp;"")&lt;=79.99),"Level 3","")&amp;IF(AND(VALUE(AJ13&amp;"")&gt;=80,VALUE(AJ13&amp;"")&lt;=100),"Level 4",""),""))</f>
        <v/>
      </c>
      <c r="AL13" s="11"/>
      <c r="AM13" s="13" t="str">
        <f>IF(TRIM(AL13&amp;"")="","",IFERROR(IF(AND(VALUE(AL13&amp;"")&gt;=0,VALUE(AL13&amp;"")&lt;=39.99),"Level 1","")&amp;IF(AND(VALUE(AL13&amp;"")&gt;=40,VALUE(AL13&amp;"")&lt;=59.99),"Level 2","")&amp;IF(AND(VALUE(AL13&amp;"")&gt;=60,VALUE(AL13&amp;"")&lt;=79.99),"Level 3","")&amp;IF(AND(VALUE(AL13&amp;"")&gt;=80,VALUE(AL13&amp;"")&lt;=100),"Level 4",""),""))</f>
        <v/>
      </c>
      <c r="AN13" s="13" t="str">
        <f>IF(((TRIM(AD13&amp;"")&lt;&gt;"")+(TRIM(AF13&amp;"")&lt;&gt;"")+(TRIM(AH13&amp;"")&lt;&gt;"")+(TRIM(AJ13&amp;"")&lt;&gt;"")+(TRIM(AL13&amp;"")&lt;&gt;""))=0,"",IF(AND(((IFERROR(VALUE(AD13&amp;""),0)+IFERROR(VALUE(AF13&amp;""),0)+IFERROR(VALUE(AH13&amp;""),0)+IFERROR(VALUE(AJ13&amp;""),0)+IFERROR(VALUE(AL13&amp;""),0))/500*100)&gt;=80,((IFERROR(VALUE(AD13&amp;""),0)+IFERROR(VALUE(AF13&amp;""),0)+IFERROR(VALUE(AH13&amp;""),0)+IFERROR(VALUE(AJ13&amp;""),0)+IFERROR(VALUE(AL13&amp;""),0))/500*100)&lt;=100),"EXCELLENT","")&amp;IF(AND(((IFERROR(VALUE(AD13&amp;""),0)+IFERROR(VALUE(AF13&amp;""),0)+IFERROR(VALUE(AH13&amp;""),0)+IFERROR(VALUE(AJ13&amp;""),0)+IFERROR(VALUE(AL13&amp;""),0))/500*100)&gt;=60,((IFERROR(VALUE(AD13&amp;""),0)+IFERROR(VALUE(AF13&amp;""),0)+IFERROR(VALUE(AH13&amp;""),0)+IFERROR(VALUE(AJ13&amp;""),0)+IFERROR(VALUE(AL13&amp;""),0))/500*100)&lt;=79.99),"GOOD","")&amp;IF(AND(((IFERROR(VALUE(AD13&amp;""),0)+IFERROR(VALUE(AF13&amp;""),0)+IFERROR(VALUE(AH13&amp;""),0)+IFERROR(VALUE(AJ13&amp;""),0)+IFERROR(VALUE(AL13&amp;""),0))/500*100)&gt;=40,((IFERROR(VALUE(AD13&amp;""),0)+IFERROR(VALUE(AF13&amp;""),0)+IFERROR(VALUE(AH13&amp;""),0)+IFERROR(VALUE(AJ13&amp;""),0)+IFERROR(VALUE(AL13&amp;""),0))/500*100)&lt;=59.99),"AVERAGE","")&amp;IF(AND(((IFERROR(VALUE(AD13&amp;""),0)+IFERROR(VALUE(AF13&amp;""),0)+IFERROR(VALUE(AH13&amp;""),0)+IFERROR(VALUE(AJ13&amp;""),0)+IFERROR(VALUE(AL13&amp;""),0))/500*100)&gt;=0,((IFERROR(VALUE(AD13&amp;""),0)+IFERROR(VALUE(AF13&amp;""),0)+IFERROR(VALUE(AH13&amp;""),0)+IFERROR(VALUE(AJ13&amp;""),0)+IFERROR(VALUE(AL13&amp;""),0))/500*100)&lt;=39.99),"NEEDS SUPPORT",""))</f>
        <v/>
      </c>
      <c r="AO13" s="10" t="s">
        <v>146</v>
      </c>
      <c r="AP13" s="10" t="s">
        <v>147</v>
      </c>
      <c r="AQ13" s="10" t="s">
        <v>95</v>
      </c>
    </row>
    <row r="14" spans="1:43" x14ac:dyDescent="0.25">
      <c r="A14" s="10" t="s">
        <v>148</v>
      </c>
      <c r="B14" s="10" t="s">
        <v>3</v>
      </c>
      <c r="C14" s="10" t="s">
        <v>7</v>
      </c>
      <c r="D14" s="10" t="s">
        <v>149</v>
      </c>
      <c r="E14" s="10" t="s">
        <v>122</v>
      </c>
      <c r="F14" s="10" t="s">
        <v>150</v>
      </c>
      <c r="G14" s="10" t="s">
        <v>8</v>
      </c>
      <c r="H14" s="11"/>
      <c r="I14" s="13" t="str">
        <f>IF(TRIM(H14&amp;"")="","",IFERROR(IF(AND(VALUE(H14&amp;"")&gt;=0,VALUE(H14&amp;"")&lt;=39.99),"Level 1","")&amp;IF(AND(VALUE(H14&amp;"")&gt;=40,VALUE(H14&amp;"")&lt;=59.99),"Level 2","")&amp;IF(AND(VALUE(H14&amp;"")&gt;=60,VALUE(H14&amp;"")&lt;=79.99),"Level 3","")&amp;IF(AND(VALUE(H14&amp;"")&gt;=80,VALUE(H14&amp;"")&lt;=100),"Level 4",""),""))</f>
        <v/>
      </c>
      <c r="J14" s="11"/>
      <c r="K14" s="13" t="str">
        <f>IF(TRIM(J14&amp;"")="","",IFERROR(IF(AND(VALUE(J14&amp;"")&gt;=0,VALUE(J14&amp;"")&lt;=39.99),"Level 1","")&amp;IF(AND(VALUE(J14&amp;"")&gt;=40,VALUE(J14&amp;"")&lt;=59.99),"Level 2","")&amp;IF(AND(VALUE(J14&amp;"")&gt;=60,VALUE(J14&amp;"")&lt;=79.99),"Level 3","")&amp;IF(AND(VALUE(J14&amp;"")&gt;=80,VALUE(J14&amp;"")&lt;=100),"Level 4",""),""))</f>
        <v/>
      </c>
      <c r="L14" s="11"/>
      <c r="M14" s="13" t="str">
        <f>IF(TRIM(L14&amp;"")="","",IFERROR(IF(AND(VALUE(L14&amp;"")&gt;=0,VALUE(L14&amp;"")&lt;=39.99),"Level 1","")&amp;IF(AND(VALUE(L14&amp;"")&gt;=40,VALUE(L14&amp;"")&lt;=59.99),"Level 2","")&amp;IF(AND(VALUE(L14&amp;"")&gt;=60,VALUE(L14&amp;"")&lt;=79.99),"Level 3","")&amp;IF(AND(VALUE(L14&amp;"")&gt;=80,VALUE(L14&amp;"")&lt;=100),"Level 4",""),""))</f>
        <v/>
      </c>
      <c r="N14" s="11"/>
      <c r="O14" s="13" t="str">
        <f>IF(TRIM(N14&amp;"")="","",IFERROR(IF(AND(VALUE(N14&amp;"")&gt;=0,VALUE(N14&amp;"")&lt;=39.99),"Level 1","")&amp;IF(AND(VALUE(N14&amp;"")&gt;=40,VALUE(N14&amp;"")&lt;=59.99),"Level 2","")&amp;IF(AND(VALUE(N14&amp;"")&gt;=60,VALUE(N14&amp;"")&lt;=79.99),"Level 3","")&amp;IF(AND(VALUE(N14&amp;"")&gt;=80,VALUE(N14&amp;"")&lt;=100),"Level 4",""),""))</f>
        <v/>
      </c>
      <c r="P14" s="11"/>
      <c r="Q14" s="13" t="str">
        <f>IF(TRIM(P14&amp;"")="","",IFERROR(IF(AND(VALUE(P14&amp;"")&gt;=0,VALUE(P14&amp;"")&lt;=39.99),"Level 1","")&amp;IF(AND(VALUE(P14&amp;"")&gt;=40,VALUE(P14&amp;"")&lt;=59.99),"Level 2","")&amp;IF(AND(VALUE(P14&amp;"")&gt;=60,VALUE(P14&amp;"")&lt;=79.99),"Level 3","")&amp;IF(AND(VALUE(P14&amp;"")&gt;=80,VALUE(P14&amp;"")&lt;=100),"Level 4",""),""))</f>
        <v/>
      </c>
      <c r="R14" s="13" t="str">
        <f>IF(((TRIM(H14&amp;"")&lt;&gt;"")+(TRIM(J14&amp;"")&lt;&gt;"")+(TRIM(L14&amp;"")&lt;&gt;"")+(TRIM(N14&amp;"")&lt;&gt;"")+(TRIM(P14&amp;"")&lt;&gt;""))=0,"",IF(AND(((IFERROR(VALUE(H14&amp;""),0)+IFERROR(VALUE(J14&amp;""),0)+IFERROR(VALUE(L14&amp;""),0)+IFERROR(VALUE(N14&amp;""),0)+IFERROR(VALUE(P14&amp;""),0))/500*100)&gt;=80,((IFERROR(VALUE(H14&amp;""),0)+IFERROR(VALUE(J14&amp;""),0)+IFERROR(VALUE(L14&amp;""),0)+IFERROR(VALUE(N14&amp;""),0)+IFERROR(VALUE(P14&amp;""),0))/500*100)&lt;=100),"EXCELLENT","")&amp;IF(AND(((IFERROR(VALUE(H14&amp;""),0)+IFERROR(VALUE(J14&amp;""),0)+IFERROR(VALUE(L14&amp;""),0)+IFERROR(VALUE(N14&amp;""),0)+IFERROR(VALUE(P14&amp;""),0))/500*100)&gt;=60,((IFERROR(VALUE(H14&amp;""),0)+IFERROR(VALUE(J14&amp;""),0)+IFERROR(VALUE(L14&amp;""),0)+IFERROR(VALUE(N14&amp;""),0)+IFERROR(VALUE(P14&amp;""),0))/500*100)&lt;=79.99),"GOOD","")&amp;IF(AND(((IFERROR(VALUE(H14&amp;""),0)+IFERROR(VALUE(J14&amp;""),0)+IFERROR(VALUE(L14&amp;""),0)+IFERROR(VALUE(N14&amp;""),0)+IFERROR(VALUE(P14&amp;""),0))/500*100)&gt;=40,((IFERROR(VALUE(H14&amp;""),0)+IFERROR(VALUE(J14&amp;""),0)+IFERROR(VALUE(L14&amp;""),0)+IFERROR(VALUE(N14&amp;""),0)+IFERROR(VALUE(P14&amp;""),0))/500*100)&lt;=59.99),"AVERAGE","")&amp;IF(AND(((IFERROR(VALUE(H14&amp;""),0)+IFERROR(VALUE(J14&amp;""),0)+IFERROR(VALUE(L14&amp;""),0)+IFERROR(VALUE(N14&amp;""),0)+IFERROR(VALUE(P14&amp;""),0))/500*100)&gt;=0,((IFERROR(VALUE(H14&amp;""),0)+IFERROR(VALUE(J14&amp;""),0)+IFERROR(VALUE(L14&amp;""),0)+IFERROR(VALUE(N14&amp;""),0)+IFERROR(VALUE(P14&amp;""),0))/500*100)&lt;=39.99),"NEEDS SUPPORT",""))</f>
        <v/>
      </c>
      <c r="S14" s="11"/>
      <c r="T14" s="13" t="str">
        <f>IF(TRIM(S14&amp;"")="","",IFERROR(IF(AND(VALUE(S14&amp;"")&gt;=0,VALUE(S14&amp;"")&lt;=39.99),"Level 1","")&amp;IF(AND(VALUE(S14&amp;"")&gt;=40,VALUE(S14&amp;"")&lt;=59.99),"Level 2","")&amp;IF(AND(VALUE(S14&amp;"")&gt;=60,VALUE(S14&amp;"")&lt;=79.99),"Level 3","")&amp;IF(AND(VALUE(S14&amp;"")&gt;=80,VALUE(S14&amp;"")&lt;=100),"Level 4",""),""))</f>
        <v/>
      </c>
      <c r="U14" s="11"/>
      <c r="V14" s="13" t="str">
        <f>IF(TRIM(U14&amp;"")="","",IFERROR(IF(AND(VALUE(U14&amp;"")&gt;=0,VALUE(U14&amp;"")&lt;=39.99),"Level 1","")&amp;IF(AND(VALUE(U14&amp;"")&gt;=40,VALUE(U14&amp;"")&lt;=59.99),"Level 2","")&amp;IF(AND(VALUE(U14&amp;"")&gt;=60,VALUE(U14&amp;"")&lt;=79.99),"Level 3","")&amp;IF(AND(VALUE(U14&amp;"")&gt;=80,VALUE(U14&amp;"")&lt;=100),"Level 4",""),""))</f>
        <v/>
      </c>
      <c r="W14" s="11"/>
      <c r="X14" s="13" t="str">
        <f>IF(TRIM(W14&amp;"")="","",IFERROR(IF(AND(VALUE(W14&amp;"")&gt;=0,VALUE(W14&amp;"")&lt;=39.99),"Level 1","")&amp;IF(AND(VALUE(W14&amp;"")&gt;=40,VALUE(W14&amp;"")&lt;=59.99),"Level 2","")&amp;IF(AND(VALUE(W14&amp;"")&gt;=60,VALUE(W14&amp;"")&lt;=79.99),"Level 3","")&amp;IF(AND(VALUE(W14&amp;"")&gt;=80,VALUE(W14&amp;"")&lt;=100),"Level 4",""),""))</f>
        <v/>
      </c>
      <c r="Y14" s="11"/>
      <c r="Z14" s="13" t="str">
        <f>IF(TRIM(Y14&amp;"")="","",IFERROR(IF(AND(VALUE(Y14&amp;"")&gt;=0,VALUE(Y14&amp;"")&lt;=39.99),"Level 1","")&amp;IF(AND(VALUE(Y14&amp;"")&gt;=40,VALUE(Y14&amp;"")&lt;=59.99),"Level 2","")&amp;IF(AND(VALUE(Y14&amp;"")&gt;=60,VALUE(Y14&amp;"")&lt;=79.99),"Level 3","")&amp;IF(AND(VALUE(Y14&amp;"")&gt;=80,VALUE(Y14&amp;"")&lt;=100),"Level 4",""),""))</f>
        <v/>
      </c>
      <c r="AA14" s="11"/>
      <c r="AB14" s="13" t="str">
        <f>IF(TRIM(AA14&amp;"")="","",IFERROR(IF(AND(VALUE(AA14&amp;"")&gt;=0,VALUE(AA14&amp;"")&lt;=39.99),"Level 1","")&amp;IF(AND(VALUE(AA14&amp;"")&gt;=40,VALUE(AA14&amp;"")&lt;=59.99),"Level 2","")&amp;IF(AND(VALUE(AA14&amp;"")&gt;=60,VALUE(AA14&amp;"")&lt;=79.99),"Level 3","")&amp;IF(AND(VALUE(AA14&amp;"")&gt;=80,VALUE(AA14&amp;"")&lt;=100),"Level 4",""),""))</f>
        <v/>
      </c>
      <c r="AC14" s="13" t="str">
        <f>IF(((TRIM(S14&amp;"")&lt;&gt;"")+(TRIM(U14&amp;"")&lt;&gt;"")+(TRIM(W14&amp;"")&lt;&gt;"")+(TRIM(Y14&amp;"")&lt;&gt;"")+(TRIM(AA14&amp;"")&lt;&gt;""))=0,"",IF(AND(((IFERROR(VALUE(S14&amp;""),0)+IFERROR(VALUE(U14&amp;""),0)+IFERROR(VALUE(W14&amp;""),0)+IFERROR(VALUE(Y14&amp;""),0)+IFERROR(VALUE(AA14&amp;""),0))/500*100)&gt;=80,((IFERROR(VALUE(S14&amp;""),0)+IFERROR(VALUE(U14&amp;""),0)+IFERROR(VALUE(W14&amp;""),0)+IFERROR(VALUE(Y14&amp;""),0)+IFERROR(VALUE(AA14&amp;""),0))/500*100)&lt;=100),"EXCELLENT","")&amp;IF(AND(((IFERROR(VALUE(S14&amp;""),0)+IFERROR(VALUE(U14&amp;""),0)+IFERROR(VALUE(W14&amp;""),0)+IFERROR(VALUE(Y14&amp;""),0)+IFERROR(VALUE(AA14&amp;""),0))/500*100)&gt;=60,((IFERROR(VALUE(S14&amp;""),0)+IFERROR(VALUE(U14&amp;""),0)+IFERROR(VALUE(W14&amp;""),0)+IFERROR(VALUE(Y14&amp;""),0)+IFERROR(VALUE(AA14&amp;""),0))/500*100)&lt;=79.99),"GOOD","")&amp;IF(AND(((IFERROR(VALUE(S14&amp;""),0)+IFERROR(VALUE(U14&amp;""),0)+IFERROR(VALUE(W14&amp;""),0)+IFERROR(VALUE(Y14&amp;""),0)+IFERROR(VALUE(AA14&amp;""),0))/500*100)&gt;=40,((IFERROR(VALUE(S14&amp;""),0)+IFERROR(VALUE(U14&amp;""),0)+IFERROR(VALUE(W14&amp;""),0)+IFERROR(VALUE(Y14&amp;""),0)+IFERROR(VALUE(AA14&amp;""),0))/500*100)&lt;=59.99),"AVERAGE","")&amp;IF(AND(((IFERROR(VALUE(S14&amp;""),0)+IFERROR(VALUE(U14&amp;""),0)+IFERROR(VALUE(W14&amp;""),0)+IFERROR(VALUE(Y14&amp;""),0)+IFERROR(VALUE(AA14&amp;""),0))/500*100)&gt;=0,((IFERROR(VALUE(S14&amp;""),0)+IFERROR(VALUE(U14&amp;""),0)+IFERROR(VALUE(W14&amp;""),0)+IFERROR(VALUE(Y14&amp;""),0)+IFERROR(VALUE(AA14&amp;""),0))/500*100)&lt;=39.99),"NEEDS SUPPORT",""))</f>
        <v/>
      </c>
      <c r="AD14" s="11"/>
      <c r="AE14" s="13" t="str">
        <f>IF(TRIM(AD14&amp;"")="","",IFERROR(IF(AND(VALUE(AD14&amp;"")&gt;=0,VALUE(AD14&amp;"")&lt;=39.99),"Level 1","")&amp;IF(AND(VALUE(AD14&amp;"")&gt;=40,VALUE(AD14&amp;"")&lt;=59.99),"Level 2","")&amp;IF(AND(VALUE(AD14&amp;"")&gt;=60,VALUE(AD14&amp;"")&lt;=79.99),"Level 3","")&amp;IF(AND(VALUE(AD14&amp;"")&gt;=80,VALUE(AD14&amp;"")&lt;=100),"Level 4",""),""))</f>
        <v/>
      </c>
      <c r="AF14" s="11"/>
      <c r="AG14" s="13" t="str">
        <f>IF(TRIM(AF14&amp;"")="","",IFERROR(IF(AND(VALUE(AF14&amp;"")&gt;=0,VALUE(AF14&amp;"")&lt;=39.99),"Level 1","")&amp;IF(AND(VALUE(AF14&amp;"")&gt;=40,VALUE(AF14&amp;"")&lt;=59.99),"Level 2","")&amp;IF(AND(VALUE(AF14&amp;"")&gt;=60,VALUE(AF14&amp;"")&lt;=79.99),"Level 3","")&amp;IF(AND(VALUE(AF14&amp;"")&gt;=80,VALUE(AF14&amp;"")&lt;=100),"Level 4",""),""))</f>
        <v/>
      </c>
      <c r="AH14" s="11"/>
      <c r="AI14" s="13" t="str">
        <f>IF(TRIM(AH14&amp;"")="","",IFERROR(IF(AND(VALUE(AH14&amp;"")&gt;=0,VALUE(AH14&amp;"")&lt;=39.99),"Level 1","")&amp;IF(AND(VALUE(AH14&amp;"")&gt;=40,VALUE(AH14&amp;"")&lt;=59.99),"Level 2","")&amp;IF(AND(VALUE(AH14&amp;"")&gt;=60,VALUE(AH14&amp;"")&lt;=79.99),"Level 3","")&amp;IF(AND(VALUE(AH14&amp;"")&gt;=80,VALUE(AH14&amp;"")&lt;=100),"Level 4",""),""))</f>
        <v/>
      </c>
      <c r="AJ14" s="11"/>
      <c r="AK14" s="13" t="str">
        <f>IF(TRIM(AJ14&amp;"")="","",IFERROR(IF(AND(VALUE(AJ14&amp;"")&gt;=0,VALUE(AJ14&amp;"")&lt;=39.99),"Level 1","")&amp;IF(AND(VALUE(AJ14&amp;"")&gt;=40,VALUE(AJ14&amp;"")&lt;=59.99),"Level 2","")&amp;IF(AND(VALUE(AJ14&amp;"")&gt;=60,VALUE(AJ14&amp;"")&lt;=79.99),"Level 3","")&amp;IF(AND(VALUE(AJ14&amp;"")&gt;=80,VALUE(AJ14&amp;"")&lt;=100),"Level 4",""),""))</f>
        <v/>
      </c>
      <c r="AL14" s="11"/>
      <c r="AM14" s="13" t="str">
        <f>IF(TRIM(AL14&amp;"")="","",IFERROR(IF(AND(VALUE(AL14&amp;"")&gt;=0,VALUE(AL14&amp;"")&lt;=39.99),"Level 1","")&amp;IF(AND(VALUE(AL14&amp;"")&gt;=40,VALUE(AL14&amp;"")&lt;=59.99),"Level 2","")&amp;IF(AND(VALUE(AL14&amp;"")&gt;=60,VALUE(AL14&amp;"")&lt;=79.99),"Level 3","")&amp;IF(AND(VALUE(AL14&amp;"")&gt;=80,VALUE(AL14&amp;"")&lt;=100),"Level 4",""),""))</f>
        <v/>
      </c>
      <c r="AN14" s="13" t="str">
        <f>IF(((TRIM(AD14&amp;"")&lt;&gt;"")+(TRIM(AF14&amp;"")&lt;&gt;"")+(TRIM(AH14&amp;"")&lt;&gt;"")+(TRIM(AJ14&amp;"")&lt;&gt;"")+(TRIM(AL14&amp;"")&lt;&gt;""))=0,"",IF(AND(((IFERROR(VALUE(AD14&amp;""),0)+IFERROR(VALUE(AF14&amp;""),0)+IFERROR(VALUE(AH14&amp;""),0)+IFERROR(VALUE(AJ14&amp;""),0)+IFERROR(VALUE(AL14&amp;""),0))/500*100)&gt;=80,((IFERROR(VALUE(AD14&amp;""),0)+IFERROR(VALUE(AF14&amp;""),0)+IFERROR(VALUE(AH14&amp;""),0)+IFERROR(VALUE(AJ14&amp;""),0)+IFERROR(VALUE(AL14&amp;""),0))/500*100)&lt;=100),"EXCELLENT","")&amp;IF(AND(((IFERROR(VALUE(AD14&amp;""),0)+IFERROR(VALUE(AF14&amp;""),0)+IFERROR(VALUE(AH14&amp;""),0)+IFERROR(VALUE(AJ14&amp;""),0)+IFERROR(VALUE(AL14&amp;""),0))/500*100)&gt;=60,((IFERROR(VALUE(AD14&amp;""),0)+IFERROR(VALUE(AF14&amp;""),0)+IFERROR(VALUE(AH14&amp;""),0)+IFERROR(VALUE(AJ14&amp;""),0)+IFERROR(VALUE(AL14&amp;""),0))/500*100)&lt;=79.99),"GOOD","")&amp;IF(AND(((IFERROR(VALUE(AD14&amp;""),0)+IFERROR(VALUE(AF14&amp;""),0)+IFERROR(VALUE(AH14&amp;""),0)+IFERROR(VALUE(AJ14&amp;""),0)+IFERROR(VALUE(AL14&amp;""),0))/500*100)&gt;=40,((IFERROR(VALUE(AD14&amp;""),0)+IFERROR(VALUE(AF14&amp;""),0)+IFERROR(VALUE(AH14&amp;""),0)+IFERROR(VALUE(AJ14&amp;""),0)+IFERROR(VALUE(AL14&amp;""),0))/500*100)&lt;=59.99),"AVERAGE","")&amp;IF(AND(((IFERROR(VALUE(AD14&amp;""),0)+IFERROR(VALUE(AF14&amp;""),0)+IFERROR(VALUE(AH14&amp;""),0)+IFERROR(VALUE(AJ14&amp;""),0)+IFERROR(VALUE(AL14&amp;""),0))/500*100)&gt;=0,((IFERROR(VALUE(AD14&amp;""),0)+IFERROR(VALUE(AF14&amp;""),0)+IFERROR(VALUE(AH14&amp;""),0)+IFERROR(VALUE(AJ14&amp;""),0)+IFERROR(VALUE(AL14&amp;""),0))/500*100)&lt;=39.99),"NEEDS SUPPORT",""))</f>
        <v/>
      </c>
      <c r="AO14" s="10" t="s">
        <v>151</v>
      </c>
      <c r="AP14" s="10" t="s">
        <v>152</v>
      </c>
      <c r="AQ14" s="10" t="s">
        <v>95</v>
      </c>
    </row>
    <row r="15" spans="1:43" x14ac:dyDescent="0.25">
      <c r="A15" s="10" t="s">
        <v>153</v>
      </c>
      <c r="B15" s="10" t="s">
        <v>3</v>
      </c>
      <c r="C15" s="10" t="s">
        <v>7</v>
      </c>
      <c r="D15" s="10" t="s">
        <v>154</v>
      </c>
      <c r="E15" s="10" t="s">
        <v>155</v>
      </c>
      <c r="F15" s="10" t="s">
        <v>156</v>
      </c>
      <c r="G15" s="10" t="s">
        <v>5</v>
      </c>
      <c r="H15" s="11"/>
      <c r="I15" s="13" t="str">
        <f>IF(TRIM(H15&amp;"")="","",IFERROR(IF(AND(VALUE(H15&amp;"")&gt;=0,VALUE(H15&amp;"")&lt;=39.99),"Level 1","")&amp;IF(AND(VALUE(H15&amp;"")&gt;=40,VALUE(H15&amp;"")&lt;=59.99),"Level 2","")&amp;IF(AND(VALUE(H15&amp;"")&gt;=60,VALUE(H15&amp;"")&lt;=79.99),"Level 3","")&amp;IF(AND(VALUE(H15&amp;"")&gt;=80,VALUE(H15&amp;"")&lt;=100),"Level 4",""),""))</f>
        <v/>
      </c>
      <c r="J15" s="11"/>
      <c r="K15" s="13" t="str">
        <f>IF(TRIM(J15&amp;"")="","",IFERROR(IF(AND(VALUE(J15&amp;"")&gt;=0,VALUE(J15&amp;"")&lt;=39.99),"Level 1","")&amp;IF(AND(VALUE(J15&amp;"")&gt;=40,VALUE(J15&amp;"")&lt;=59.99),"Level 2","")&amp;IF(AND(VALUE(J15&amp;"")&gt;=60,VALUE(J15&amp;"")&lt;=79.99),"Level 3","")&amp;IF(AND(VALUE(J15&amp;"")&gt;=80,VALUE(J15&amp;"")&lt;=100),"Level 4",""),""))</f>
        <v/>
      </c>
      <c r="L15" s="11"/>
      <c r="M15" s="13" t="str">
        <f>IF(TRIM(L15&amp;"")="","",IFERROR(IF(AND(VALUE(L15&amp;"")&gt;=0,VALUE(L15&amp;"")&lt;=39.99),"Level 1","")&amp;IF(AND(VALUE(L15&amp;"")&gt;=40,VALUE(L15&amp;"")&lt;=59.99),"Level 2","")&amp;IF(AND(VALUE(L15&amp;"")&gt;=60,VALUE(L15&amp;"")&lt;=79.99),"Level 3","")&amp;IF(AND(VALUE(L15&amp;"")&gt;=80,VALUE(L15&amp;"")&lt;=100),"Level 4",""),""))</f>
        <v/>
      </c>
      <c r="N15" s="11"/>
      <c r="O15" s="13" t="str">
        <f>IF(TRIM(N15&amp;"")="","",IFERROR(IF(AND(VALUE(N15&amp;"")&gt;=0,VALUE(N15&amp;"")&lt;=39.99),"Level 1","")&amp;IF(AND(VALUE(N15&amp;"")&gt;=40,VALUE(N15&amp;"")&lt;=59.99),"Level 2","")&amp;IF(AND(VALUE(N15&amp;"")&gt;=60,VALUE(N15&amp;"")&lt;=79.99),"Level 3","")&amp;IF(AND(VALUE(N15&amp;"")&gt;=80,VALUE(N15&amp;"")&lt;=100),"Level 4",""),""))</f>
        <v/>
      </c>
      <c r="P15" s="11"/>
      <c r="Q15" s="13" t="str">
        <f>IF(TRIM(P15&amp;"")="","",IFERROR(IF(AND(VALUE(P15&amp;"")&gt;=0,VALUE(P15&amp;"")&lt;=39.99),"Level 1","")&amp;IF(AND(VALUE(P15&amp;"")&gt;=40,VALUE(P15&amp;"")&lt;=59.99),"Level 2","")&amp;IF(AND(VALUE(P15&amp;"")&gt;=60,VALUE(P15&amp;"")&lt;=79.99),"Level 3","")&amp;IF(AND(VALUE(P15&amp;"")&gt;=80,VALUE(P15&amp;"")&lt;=100),"Level 4",""),""))</f>
        <v/>
      </c>
      <c r="R15" s="13" t="str">
        <f>IF(((TRIM(H15&amp;"")&lt;&gt;"")+(TRIM(J15&amp;"")&lt;&gt;"")+(TRIM(L15&amp;"")&lt;&gt;"")+(TRIM(N15&amp;"")&lt;&gt;"")+(TRIM(P15&amp;"")&lt;&gt;""))=0,"",IF(AND(((IFERROR(VALUE(H15&amp;""),0)+IFERROR(VALUE(J15&amp;""),0)+IFERROR(VALUE(L15&amp;""),0)+IFERROR(VALUE(N15&amp;""),0)+IFERROR(VALUE(P15&amp;""),0))/500*100)&gt;=80,((IFERROR(VALUE(H15&amp;""),0)+IFERROR(VALUE(J15&amp;""),0)+IFERROR(VALUE(L15&amp;""),0)+IFERROR(VALUE(N15&amp;""),0)+IFERROR(VALUE(P15&amp;""),0))/500*100)&lt;=100),"EXCELLENT","")&amp;IF(AND(((IFERROR(VALUE(H15&amp;""),0)+IFERROR(VALUE(J15&amp;""),0)+IFERROR(VALUE(L15&amp;""),0)+IFERROR(VALUE(N15&amp;""),0)+IFERROR(VALUE(P15&amp;""),0))/500*100)&gt;=60,((IFERROR(VALUE(H15&amp;""),0)+IFERROR(VALUE(J15&amp;""),0)+IFERROR(VALUE(L15&amp;""),0)+IFERROR(VALUE(N15&amp;""),0)+IFERROR(VALUE(P15&amp;""),0))/500*100)&lt;=79.99),"GOOD","")&amp;IF(AND(((IFERROR(VALUE(H15&amp;""),0)+IFERROR(VALUE(J15&amp;""),0)+IFERROR(VALUE(L15&amp;""),0)+IFERROR(VALUE(N15&amp;""),0)+IFERROR(VALUE(P15&amp;""),0))/500*100)&gt;=40,((IFERROR(VALUE(H15&amp;""),0)+IFERROR(VALUE(J15&amp;""),0)+IFERROR(VALUE(L15&amp;""),0)+IFERROR(VALUE(N15&amp;""),0)+IFERROR(VALUE(P15&amp;""),0))/500*100)&lt;=59.99),"AVERAGE","")&amp;IF(AND(((IFERROR(VALUE(H15&amp;""),0)+IFERROR(VALUE(J15&amp;""),0)+IFERROR(VALUE(L15&amp;""),0)+IFERROR(VALUE(N15&amp;""),0)+IFERROR(VALUE(P15&amp;""),0))/500*100)&gt;=0,((IFERROR(VALUE(H15&amp;""),0)+IFERROR(VALUE(J15&amp;""),0)+IFERROR(VALUE(L15&amp;""),0)+IFERROR(VALUE(N15&amp;""),0)+IFERROR(VALUE(P15&amp;""),0))/500*100)&lt;=39.99),"NEEDS SUPPORT",""))</f>
        <v/>
      </c>
      <c r="S15" s="11"/>
      <c r="T15" s="13" t="str">
        <f>IF(TRIM(S15&amp;"")="","",IFERROR(IF(AND(VALUE(S15&amp;"")&gt;=0,VALUE(S15&amp;"")&lt;=39.99),"Level 1","")&amp;IF(AND(VALUE(S15&amp;"")&gt;=40,VALUE(S15&amp;"")&lt;=59.99),"Level 2","")&amp;IF(AND(VALUE(S15&amp;"")&gt;=60,VALUE(S15&amp;"")&lt;=79.99),"Level 3","")&amp;IF(AND(VALUE(S15&amp;"")&gt;=80,VALUE(S15&amp;"")&lt;=100),"Level 4",""),""))</f>
        <v/>
      </c>
      <c r="U15" s="11"/>
      <c r="V15" s="13" t="str">
        <f>IF(TRIM(U15&amp;"")="","",IFERROR(IF(AND(VALUE(U15&amp;"")&gt;=0,VALUE(U15&amp;"")&lt;=39.99),"Level 1","")&amp;IF(AND(VALUE(U15&amp;"")&gt;=40,VALUE(U15&amp;"")&lt;=59.99),"Level 2","")&amp;IF(AND(VALUE(U15&amp;"")&gt;=60,VALUE(U15&amp;"")&lt;=79.99),"Level 3","")&amp;IF(AND(VALUE(U15&amp;"")&gt;=80,VALUE(U15&amp;"")&lt;=100),"Level 4",""),""))</f>
        <v/>
      </c>
      <c r="W15" s="11"/>
      <c r="X15" s="13" t="str">
        <f>IF(TRIM(W15&amp;"")="","",IFERROR(IF(AND(VALUE(W15&amp;"")&gt;=0,VALUE(W15&amp;"")&lt;=39.99),"Level 1","")&amp;IF(AND(VALUE(W15&amp;"")&gt;=40,VALUE(W15&amp;"")&lt;=59.99),"Level 2","")&amp;IF(AND(VALUE(W15&amp;"")&gt;=60,VALUE(W15&amp;"")&lt;=79.99),"Level 3","")&amp;IF(AND(VALUE(W15&amp;"")&gt;=80,VALUE(W15&amp;"")&lt;=100),"Level 4",""),""))</f>
        <v/>
      </c>
      <c r="Y15" s="11"/>
      <c r="Z15" s="13" t="str">
        <f>IF(TRIM(Y15&amp;"")="","",IFERROR(IF(AND(VALUE(Y15&amp;"")&gt;=0,VALUE(Y15&amp;"")&lt;=39.99),"Level 1","")&amp;IF(AND(VALUE(Y15&amp;"")&gt;=40,VALUE(Y15&amp;"")&lt;=59.99),"Level 2","")&amp;IF(AND(VALUE(Y15&amp;"")&gt;=60,VALUE(Y15&amp;"")&lt;=79.99),"Level 3","")&amp;IF(AND(VALUE(Y15&amp;"")&gt;=80,VALUE(Y15&amp;"")&lt;=100),"Level 4",""),""))</f>
        <v/>
      </c>
      <c r="AA15" s="11"/>
      <c r="AB15" s="13" t="str">
        <f>IF(TRIM(AA15&amp;"")="","",IFERROR(IF(AND(VALUE(AA15&amp;"")&gt;=0,VALUE(AA15&amp;"")&lt;=39.99),"Level 1","")&amp;IF(AND(VALUE(AA15&amp;"")&gt;=40,VALUE(AA15&amp;"")&lt;=59.99),"Level 2","")&amp;IF(AND(VALUE(AA15&amp;"")&gt;=60,VALUE(AA15&amp;"")&lt;=79.99),"Level 3","")&amp;IF(AND(VALUE(AA15&amp;"")&gt;=80,VALUE(AA15&amp;"")&lt;=100),"Level 4",""),""))</f>
        <v/>
      </c>
      <c r="AC15" s="13" t="str">
        <f>IF(((TRIM(S15&amp;"")&lt;&gt;"")+(TRIM(U15&amp;"")&lt;&gt;"")+(TRIM(W15&amp;"")&lt;&gt;"")+(TRIM(Y15&amp;"")&lt;&gt;"")+(TRIM(AA15&amp;"")&lt;&gt;""))=0,"",IF(AND(((IFERROR(VALUE(S15&amp;""),0)+IFERROR(VALUE(U15&amp;""),0)+IFERROR(VALUE(W15&amp;""),0)+IFERROR(VALUE(Y15&amp;""),0)+IFERROR(VALUE(AA15&amp;""),0))/500*100)&gt;=80,((IFERROR(VALUE(S15&amp;""),0)+IFERROR(VALUE(U15&amp;""),0)+IFERROR(VALUE(W15&amp;""),0)+IFERROR(VALUE(Y15&amp;""),0)+IFERROR(VALUE(AA15&amp;""),0))/500*100)&lt;=100),"EXCELLENT","")&amp;IF(AND(((IFERROR(VALUE(S15&amp;""),0)+IFERROR(VALUE(U15&amp;""),0)+IFERROR(VALUE(W15&amp;""),0)+IFERROR(VALUE(Y15&amp;""),0)+IFERROR(VALUE(AA15&amp;""),0))/500*100)&gt;=60,((IFERROR(VALUE(S15&amp;""),0)+IFERROR(VALUE(U15&amp;""),0)+IFERROR(VALUE(W15&amp;""),0)+IFERROR(VALUE(Y15&amp;""),0)+IFERROR(VALUE(AA15&amp;""),0))/500*100)&lt;=79.99),"GOOD","")&amp;IF(AND(((IFERROR(VALUE(S15&amp;""),0)+IFERROR(VALUE(U15&amp;""),0)+IFERROR(VALUE(W15&amp;""),0)+IFERROR(VALUE(Y15&amp;""),0)+IFERROR(VALUE(AA15&amp;""),0))/500*100)&gt;=40,((IFERROR(VALUE(S15&amp;""),0)+IFERROR(VALUE(U15&amp;""),0)+IFERROR(VALUE(W15&amp;""),0)+IFERROR(VALUE(Y15&amp;""),0)+IFERROR(VALUE(AA15&amp;""),0))/500*100)&lt;=59.99),"AVERAGE","")&amp;IF(AND(((IFERROR(VALUE(S15&amp;""),0)+IFERROR(VALUE(U15&amp;""),0)+IFERROR(VALUE(W15&amp;""),0)+IFERROR(VALUE(Y15&amp;""),0)+IFERROR(VALUE(AA15&amp;""),0))/500*100)&gt;=0,((IFERROR(VALUE(S15&amp;""),0)+IFERROR(VALUE(U15&amp;""),0)+IFERROR(VALUE(W15&amp;""),0)+IFERROR(VALUE(Y15&amp;""),0)+IFERROR(VALUE(AA15&amp;""),0))/500*100)&lt;=39.99),"NEEDS SUPPORT",""))</f>
        <v/>
      </c>
      <c r="AD15" s="11"/>
      <c r="AE15" s="13" t="str">
        <f>IF(TRIM(AD15&amp;"")="","",IFERROR(IF(AND(VALUE(AD15&amp;"")&gt;=0,VALUE(AD15&amp;"")&lt;=39.99),"Level 1","")&amp;IF(AND(VALUE(AD15&amp;"")&gt;=40,VALUE(AD15&amp;"")&lt;=59.99),"Level 2","")&amp;IF(AND(VALUE(AD15&amp;"")&gt;=60,VALUE(AD15&amp;"")&lt;=79.99),"Level 3","")&amp;IF(AND(VALUE(AD15&amp;"")&gt;=80,VALUE(AD15&amp;"")&lt;=100),"Level 4",""),""))</f>
        <v/>
      </c>
      <c r="AF15" s="11"/>
      <c r="AG15" s="13" t="str">
        <f>IF(TRIM(AF15&amp;"")="","",IFERROR(IF(AND(VALUE(AF15&amp;"")&gt;=0,VALUE(AF15&amp;"")&lt;=39.99),"Level 1","")&amp;IF(AND(VALUE(AF15&amp;"")&gt;=40,VALUE(AF15&amp;"")&lt;=59.99),"Level 2","")&amp;IF(AND(VALUE(AF15&amp;"")&gt;=60,VALUE(AF15&amp;"")&lt;=79.99),"Level 3","")&amp;IF(AND(VALUE(AF15&amp;"")&gt;=80,VALUE(AF15&amp;"")&lt;=100),"Level 4",""),""))</f>
        <v/>
      </c>
      <c r="AH15" s="11"/>
      <c r="AI15" s="13" t="str">
        <f>IF(TRIM(AH15&amp;"")="","",IFERROR(IF(AND(VALUE(AH15&amp;"")&gt;=0,VALUE(AH15&amp;"")&lt;=39.99),"Level 1","")&amp;IF(AND(VALUE(AH15&amp;"")&gt;=40,VALUE(AH15&amp;"")&lt;=59.99),"Level 2","")&amp;IF(AND(VALUE(AH15&amp;"")&gt;=60,VALUE(AH15&amp;"")&lt;=79.99),"Level 3","")&amp;IF(AND(VALUE(AH15&amp;"")&gt;=80,VALUE(AH15&amp;"")&lt;=100),"Level 4",""),""))</f>
        <v/>
      </c>
      <c r="AJ15" s="11"/>
      <c r="AK15" s="13" t="str">
        <f>IF(TRIM(AJ15&amp;"")="","",IFERROR(IF(AND(VALUE(AJ15&amp;"")&gt;=0,VALUE(AJ15&amp;"")&lt;=39.99),"Level 1","")&amp;IF(AND(VALUE(AJ15&amp;"")&gt;=40,VALUE(AJ15&amp;"")&lt;=59.99),"Level 2","")&amp;IF(AND(VALUE(AJ15&amp;"")&gt;=60,VALUE(AJ15&amp;"")&lt;=79.99),"Level 3","")&amp;IF(AND(VALUE(AJ15&amp;"")&gt;=80,VALUE(AJ15&amp;"")&lt;=100),"Level 4",""),""))</f>
        <v/>
      </c>
      <c r="AL15" s="11"/>
      <c r="AM15" s="13" t="str">
        <f>IF(TRIM(AL15&amp;"")="","",IFERROR(IF(AND(VALUE(AL15&amp;"")&gt;=0,VALUE(AL15&amp;"")&lt;=39.99),"Level 1","")&amp;IF(AND(VALUE(AL15&amp;"")&gt;=40,VALUE(AL15&amp;"")&lt;=59.99),"Level 2","")&amp;IF(AND(VALUE(AL15&amp;"")&gt;=60,VALUE(AL15&amp;"")&lt;=79.99),"Level 3","")&amp;IF(AND(VALUE(AL15&amp;"")&gt;=80,VALUE(AL15&amp;"")&lt;=100),"Level 4",""),""))</f>
        <v/>
      </c>
      <c r="AN15" s="13" t="str">
        <f>IF(((TRIM(AD15&amp;"")&lt;&gt;"")+(TRIM(AF15&amp;"")&lt;&gt;"")+(TRIM(AH15&amp;"")&lt;&gt;"")+(TRIM(AJ15&amp;"")&lt;&gt;"")+(TRIM(AL15&amp;"")&lt;&gt;""))=0,"",IF(AND(((IFERROR(VALUE(AD15&amp;""),0)+IFERROR(VALUE(AF15&amp;""),0)+IFERROR(VALUE(AH15&amp;""),0)+IFERROR(VALUE(AJ15&amp;""),0)+IFERROR(VALUE(AL15&amp;""),0))/500*100)&gt;=80,((IFERROR(VALUE(AD15&amp;""),0)+IFERROR(VALUE(AF15&amp;""),0)+IFERROR(VALUE(AH15&amp;""),0)+IFERROR(VALUE(AJ15&amp;""),0)+IFERROR(VALUE(AL15&amp;""),0))/500*100)&lt;=100),"EXCELLENT","")&amp;IF(AND(((IFERROR(VALUE(AD15&amp;""),0)+IFERROR(VALUE(AF15&amp;""),0)+IFERROR(VALUE(AH15&amp;""),0)+IFERROR(VALUE(AJ15&amp;""),0)+IFERROR(VALUE(AL15&amp;""),0))/500*100)&gt;=60,((IFERROR(VALUE(AD15&amp;""),0)+IFERROR(VALUE(AF15&amp;""),0)+IFERROR(VALUE(AH15&amp;""),0)+IFERROR(VALUE(AJ15&amp;""),0)+IFERROR(VALUE(AL15&amp;""),0))/500*100)&lt;=79.99),"GOOD","")&amp;IF(AND(((IFERROR(VALUE(AD15&amp;""),0)+IFERROR(VALUE(AF15&amp;""),0)+IFERROR(VALUE(AH15&amp;""),0)+IFERROR(VALUE(AJ15&amp;""),0)+IFERROR(VALUE(AL15&amp;""),0))/500*100)&gt;=40,((IFERROR(VALUE(AD15&amp;""),0)+IFERROR(VALUE(AF15&amp;""),0)+IFERROR(VALUE(AH15&amp;""),0)+IFERROR(VALUE(AJ15&amp;""),0)+IFERROR(VALUE(AL15&amp;""),0))/500*100)&lt;=59.99),"AVERAGE","")&amp;IF(AND(((IFERROR(VALUE(AD15&amp;""),0)+IFERROR(VALUE(AF15&amp;""),0)+IFERROR(VALUE(AH15&amp;""),0)+IFERROR(VALUE(AJ15&amp;""),0)+IFERROR(VALUE(AL15&amp;""),0))/500*100)&gt;=0,((IFERROR(VALUE(AD15&amp;""),0)+IFERROR(VALUE(AF15&amp;""),0)+IFERROR(VALUE(AH15&amp;""),0)+IFERROR(VALUE(AJ15&amp;""),0)+IFERROR(VALUE(AL15&amp;""),0))/500*100)&lt;=39.99),"NEEDS SUPPORT",""))</f>
        <v/>
      </c>
      <c r="AO15" s="10" t="s">
        <v>157</v>
      </c>
      <c r="AP15" s="10" t="s">
        <v>158</v>
      </c>
      <c r="AQ15" s="10" t="s">
        <v>95</v>
      </c>
    </row>
    <row r="16" spans="1:43" x14ac:dyDescent="0.25">
      <c r="A16" s="10" t="s">
        <v>159</v>
      </c>
      <c r="B16" s="10" t="s">
        <v>3</v>
      </c>
      <c r="C16" s="10" t="s">
        <v>7</v>
      </c>
      <c r="D16" s="10" t="s">
        <v>160</v>
      </c>
      <c r="E16" s="10" t="s">
        <v>161</v>
      </c>
      <c r="F16" s="10" t="s">
        <v>162</v>
      </c>
      <c r="G16" s="10" t="s">
        <v>8</v>
      </c>
      <c r="H16" s="11"/>
      <c r="I16" s="13" t="str">
        <f>IF(TRIM(H16&amp;"")="","",IFERROR(IF(AND(VALUE(H16&amp;"")&gt;=0,VALUE(H16&amp;"")&lt;=39.99),"Level 1","")&amp;IF(AND(VALUE(H16&amp;"")&gt;=40,VALUE(H16&amp;"")&lt;=59.99),"Level 2","")&amp;IF(AND(VALUE(H16&amp;"")&gt;=60,VALUE(H16&amp;"")&lt;=79.99),"Level 3","")&amp;IF(AND(VALUE(H16&amp;"")&gt;=80,VALUE(H16&amp;"")&lt;=100),"Level 4",""),""))</f>
        <v/>
      </c>
      <c r="J16" s="11"/>
      <c r="K16" s="13" t="str">
        <f>IF(TRIM(J16&amp;"")="","",IFERROR(IF(AND(VALUE(J16&amp;"")&gt;=0,VALUE(J16&amp;"")&lt;=39.99),"Level 1","")&amp;IF(AND(VALUE(J16&amp;"")&gt;=40,VALUE(J16&amp;"")&lt;=59.99),"Level 2","")&amp;IF(AND(VALUE(J16&amp;"")&gt;=60,VALUE(J16&amp;"")&lt;=79.99),"Level 3","")&amp;IF(AND(VALUE(J16&amp;"")&gt;=80,VALUE(J16&amp;"")&lt;=100),"Level 4",""),""))</f>
        <v/>
      </c>
      <c r="L16" s="11"/>
      <c r="M16" s="13" t="str">
        <f>IF(TRIM(L16&amp;"")="","",IFERROR(IF(AND(VALUE(L16&amp;"")&gt;=0,VALUE(L16&amp;"")&lt;=39.99),"Level 1","")&amp;IF(AND(VALUE(L16&amp;"")&gt;=40,VALUE(L16&amp;"")&lt;=59.99),"Level 2","")&amp;IF(AND(VALUE(L16&amp;"")&gt;=60,VALUE(L16&amp;"")&lt;=79.99),"Level 3","")&amp;IF(AND(VALUE(L16&amp;"")&gt;=80,VALUE(L16&amp;"")&lt;=100),"Level 4",""),""))</f>
        <v/>
      </c>
      <c r="N16" s="11"/>
      <c r="O16" s="13" t="str">
        <f>IF(TRIM(N16&amp;"")="","",IFERROR(IF(AND(VALUE(N16&amp;"")&gt;=0,VALUE(N16&amp;"")&lt;=39.99),"Level 1","")&amp;IF(AND(VALUE(N16&amp;"")&gt;=40,VALUE(N16&amp;"")&lt;=59.99),"Level 2","")&amp;IF(AND(VALUE(N16&amp;"")&gt;=60,VALUE(N16&amp;"")&lt;=79.99),"Level 3","")&amp;IF(AND(VALUE(N16&amp;"")&gt;=80,VALUE(N16&amp;"")&lt;=100),"Level 4",""),""))</f>
        <v/>
      </c>
      <c r="P16" s="11"/>
      <c r="Q16" s="13" t="str">
        <f>IF(TRIM(P16&amp;"")="","",IFERROR(IF(AND(VALUE(P16&amp;"")&gt;=0,VALUE(P16&amp;"")&lt;=39.99),"Level 1","")&amp;IF(AND(VALUE(P16&amp;"")&gt;=40,VALUE(P16&amp;"")&lt;=59.99),"Level 2","")&amp;IF(AND(VALUE(P16&amp;"")&gt;=60,VALUE(P16&amp;"")&lt;=79.99),"Level 3","")&amp;IF(AND(VALUE(P16&amp;"")&gt;=80,VALUE(P16&amp;"")&lt;=100),"Level 4",""),""))</f>
        <v/>
      </c>
      <c r="R16" s="13" t="str">
        <f>IF(((TRIM(H16&amp;"")&lt;&gt;"")+(TRIM(J16&amp;"")&lt;&gt;"")+(TRIM(L16&amp;"")&lt;&gt;"")+(TRIM(N16&amp;"")&lt;&gt;"")+(TRIM(P16&amp;"")&lt;&gt;""))=0,"",IF(AND(((IFERROR(VALUE(H16&amp;""),0)+IFERROR(VALUE(J16&amp;""),0)+IFERROR(VALUE(L16&amp;""),0)+IFERROR(VALUE(N16&amp;""),0)+IFERROR(VALUE(P16&amp;""),0))/500*100)&gt;=80,((IFERROR(VALUE(H16&amp;""),0)+IFERROR(VALUE(J16&amp;""),0)+IFERROR(VALUE(L16&amp;""),0)+IFERROR(VALUE(N16&amp;""),0)+IFERROR(VALUE(P16&amp;""),0))/500*100)&lt;=100),"EXCELLENT","")&amp;IF(AND(((IFERROR(VALUE(H16&amp;""),0)+IFERROR(VALUE(J16&amp;""),0)+IFERROR(VALUE(L16&amp;""),0)+IFERROR(VALUE(N16&amp;""),0)+IFERROR(VALUE(P16&amp;""),0))/500*100)&gt;=60,((IFERROR(VALUE(H16&amp;""),0)+IFERROR(VALUE(J16&amp;""),0)+IFERROR(VALUE(L16&amp;""),0)+IFERROR(VALUE(N16&amp;""),0)+IFERROR(VALUE(P16&amp;""),0))/500*100)&lt;=79.99),"GOOD","")&amp;IF(AND(((IFERROR(VALUE(H16&amp;""),0)+IFERROR(VALUE(J16&amp;""),0)+IFERROR(VALUE(L16&amp;""),0)+IFERROR(VALUE(N16&amp;""),0)+IFERROR(VALUE(P16&amp;""),0))/500*100)&gt;=40,((IFERROR(VALUE(H16&amp;""),0)+IFERROR(VALUE(J16&amp;""),0)+IFERROR(VALUE(L16&amp;""),0)+IFERROR(VALUE(N16&amp;""),0)+IFERROR(VALUE(P16&amp;""),0))/500*100)&lt;=59.99),"AVERAGE","")&amp;IF(AND(((IFERROR(VALUE(H16&amp;""),0)+IFERROR(VALUE(J16&amp;""),0)+IFERROR(VALUE(L16&amp;""),0)+IFERROR(VALUE(N16&amp;""),0)+IFERROR(VALUE(P16&amp;""),0))/500*100)&gt;=0,((IFERROR(VALUE(H16&amp;""),0)+IFERROR(VALUE(J16&amp;""),0)+IFERROR(VALUE(L16&amp;""),0)+IFERROR(VALUE(N16&amp;""),0)+IFERROR(VALUE(P16&amp;""),0))/500*100)&lt;=39.99),"NEEDS SUPPORT",""))</f>
        <v/>
      </c>
      <c r="S16" s="11"/>
      <c r="T16" s="13" t="str">
        <f>IF(TRIM(S16&amp;"")="","",IFERROR(IF(AND(VALUE(S16&amp;"")&gt;=0,VALUE(S16&amp;"")&lt;=39.99),"Level 1","")&amp;IF(AND(VALUE(S16&amp;"")&gt;=40,VALUE(S16&amp;"")&lt;=59.99),"Level 2","")&amp;IF(AND(VALUE(S16&amp;"")&gt;=60,VALUE(S16&amp;"")&lt;=79.99),"Level 3","")&amp;IF(AND(VALUE(S16&amp;"")&gt;=80,VALUE(S16&amp;"")&lt;=100),"Level 4",""),""))</f>
        <v/>
      </c>
      <c r="U16" s="11"/>
      <c r="V16" s="13" t="str">
        <f>IF(TRIM(U16&amp;"")="","",IFERROR(IF(AND(VALUE(U16&amp;"")&gt;=0,VALUE(U16&amp;"")&lt;=39.99),"Level 1","")&amp;IF(AND(VALUE(U16&amp;"")&gt;=40,VALUE(U16&amp;"")&lt;=59.99),"Level 2","")&amp;IF(AND(VALUE(U16&amp;"")&gt;=60,VALUE(U16&amp;"")&lt;=79.99),"Level 3","")&amp;IF(AND(VALUE(U16&amp;"")&gt;=80,VALUE(U16&amp;"")&lt;=100),"Level 4",""),""))</f>
        <v/>
      </c>
      <c r="W16" s="11"/>
      <c r="X16" s="13" t="str">
        <f>IF(TRIM(W16&amp;"")="","",IFERROR(IF(AND(VALUE(W16&amp;"")&gt;=0,VALUE(W16&amp;"")&lt;=39.99),"Level 1","")&amp;IF(AND(VALUE(W16&amp;"")&gt;=40,VALUE(W16&amp;"")&lt;=59.99),"Level 2","")&amp;IF(AND(VALUE(W16&amp;"")&gt;=60,VALUE(W16&amp;"")&lt;=79.99),"Level 3","")&amp;IF(AND(VALUE(W16&amp;"")&gt;=80,VALUE(W16&amp;"")&lt;=100),"Level 4",""),""))</f>
        <v/>
      </c>
      <c r="Y16" s="11"/>
      <c r="Z16" s="13" t="str">
        <f>IF(TRIM(Y16&amp;"")="","",IFERROR(IF(AND(VALUE(Y16&amp;"")&gt;=0,VALUE(Y16&amp;"")&lt;=39.99),"Level 1","")&amp;IF(AND(VALUE(Y16&amp;"")&gt;=40,VALUE(Y16&amp;"")&lt;=59.99),"Level 2","")&amp;IF(AND(VALUE(Y16&amp;"")&gt;=60,VALUE(Y16&amp;"")&lt;=79.99),"Level 3","")&amp;IF(AND(VALUE(Y16&amp;"")&gt;=80,VALUE(Y16&amp;"")&lt;=100),"Level 4",""),""))</f>
        <v/>
      </c>
      <c r="AA16" s="11"/>
      <c r="AB16" s="13" t="str">
        <f>IF(TRIM(AA16&amp;"")="","",IFERROR(IF(AND(VALUE(AA16&amp;"")&gt;=0,VALUE(AA16&amp;"")&lt;=39.99),"Level 1","")&amp;IF(AND(VALUE(AA16&amp;"")&gt;=40,VALUE(AA16&amp;"")&lt;=59.99),"Level 2","")&amp;IF(AND(VALUE(AA16&amp;"")&gt;=60,VALUE(AA16&amp;"")&lt;=79.99),"Level 3","")&amp;IF(AND(VALUE(AA16&amp;"")&gt;=80,VALUE(AA16&amp;"")&lt;=100),"Level 4",""),""))</f>
        <v/>
      </c>
      <c r="AC16" s="13" t="str">
        <f>IF(((TRIM(S16&amp;"")&lt;&gt;"")+(TRIM(U16&amp;"")&lt;&gt;"")+(TRIM(W16&amp;"")&lt;&gt;"")+(TRIM(Y16&amp;"")&lt;&gt;"")+(TRIM(AA16&amp;"")&lt;&gt;""))=0,"",IF(AND(((IFERROR(VALUE(S16&amp;""),0)+IFERROR(VALUE(U16&amp;""),0)+IFERROR(VALUE(W16&amp;""),0)+IFERROR(VALUE(Y16&amp;""),0)+IFERROR(VALUE(AA16&amp;""),0))/500*100)&gt;=80,((IFERROR(VALUE(S16&amp;""),0)+IFERROR(VALUE(U16&amp;""),0)+IFERROR(VALUE(W16&amp;""),0)+IFERROR(VALUE(Y16&amp;""),0)+IFERROR(VALUE(AA16&amp;""),0))/500*100)&lt;=100),"EXCELLENT","")&amp;IF(AND(((IFERROR(VALUE(S16&amp;""),0)+IFERROR(VALUE(U16&amp;""),0)+IFERROR(VALUE(W16&amp;""),0)+IFERROR(VALUE(Y16&amp;""),0)+IFERROR(VALUE(AA16&amp;""),0))/500*100)&gt;=60,((IFERROR(VALUE(S16&amp;""),0)+IFERROR(VALUE(U16&amp;""),0)+IFERROR(VALUE(W16&amp;""),0)+IFERROR(VALUE(Y16&amp;""),0)+IFERROR(VALUE(AA16&amp;""),0))/500*100)&lt;=79.99),"GOOD","")&amp;IF(AND(((IFERROR(VALUE(S16&amp;""),0)+IFERROR(VALUE(U16&amp;""),0)+IFERROR(VALUE(W16&amp;""),0)+IFERROR(VALUE(Y16&amp;""),0)+IFERROR(VALUE(AA16&amp;""),0))/500*100)&gt;=40,((IFERROR(VALUE(S16&amp;""),0)+IFERROR(VALUE(U16&amp;""),0)+IFERROR(VALUE(W16&amp;""),0)+IFERROR(VALUE(Y16&amp;""),0)+IFERROR(VALUE(AA16&amp;""),0))/500*100)&lt;=59.99),"AVERAGE","")&amp;IF(AND(((IFERROR(VALUE(S16&amp;""),0)+IFERROR(VALUE(U16&amp;""),0)+IFERROR(VALUE(W16&amp;""),0)+IFERROR(VALUE(Y16&amp;""),0)+IFERROR(VALUE(AA16&amp;""),0))/500*100)&gt;=0,((IFERROR(VALUE(S16&amp;""),0)+IFERROR(VALUE(U16&amp;""),0)+IFERROR(VALUE(W16&amp;""),0)+IFERROR(VALUE(Y16&amp;""),0)+IFERROR(VALUE(AA16&amp;""),0))/500*100)&lt;=39.99),"NEEDS SUPPORT",""))</f>
        <v/>
      </c>
      <c r="AD16" s="11"/>
      <c r="AE16" s="13" t="str">
        <f>IF(TRIM(AD16&amp;"")="","",IFERROR(IF(AND(VALUE(AD16&amp;"")&gt;=0,VALUE(AD16&amp;"")&lt;=39.99),"Level 1","")&amp;IF(AND(VALUE(AD16&amp;"")&gt;=40,VALUE(AD16&amp;"")&lt;=59.99),"Level 2","")&amp;IF(AND(VALUE(AD16&amp;"")&gt;=60,VALUE(AD16&amp;"")&lt;=79.99),"Level 3","")&amp;IF(AND(VALUE(AD16&amp;"")&gt;=80,VALUE(AD16&amp;"")&lt;=100),"Level 4",""),""))</f>
        <v/>
      </c>
      <c r="AF16" s="11"/>
      <c r="AG16" s="13" t="str">
        <f>IF(TRIM(AF16&amp;"")="","",IFERROR(IF(AND(VALUE(AF16&amp;"")&gt;=0,VALUE(AF16&amp;"")&lt;=39.99),"Level 1","")&amp;IF(AND(VALUE(AF16&amp;"")&gt;=40,VALUE(AF16&amp;"")&lt;=59.99),"Level 2","")&amp;IF(AND(VALUE(AF16&amp;"")&gt;=60,VALUE(AF16&amp;"")&lt;=79.99),"Level 3","")&amp;IF(AND(VALUE(AF16&amp;"")&gt;=80,VALUE(AF16&amp;"")&lt;=100),"Level 4",""),""))</f>
        <v/>
      </c>
      <c r="AH16" s="11"/>
      <c r="AI16" s="13" t="str">
        <f>IF(TRIM(AH16&amp;"")="","",IFERROR(IF(AND(VALUE(AH16&amp;"")&gt;=0,VALUE(AH16&amp;"")&lt;=39.99),"Level 1","")&amp;IF(AND(VALUE(AH16&amp;"")&gt;=40,VALUE(AH16&amp;"")&lt;=59.99),"Level 2","")&amp;IF(AND(VALUE(AH16&amp;"")&gt;=60,VALUE(AH16&amp;"")&lt;=79.99),"Level 3","")&amp;IF(AND(VALUE(AH16&amp;"")&gt;=80,VALUE(AH16&amp;"")&lt;=100),"Level 4",""),""))</f>
        <v/>
      </c>
      <c r="AJ16" s="11"/>
      <c r="AK16" s="13" t="str">
        <f>IF(TRIM(AJ16&amp;"")="","",IFERROR(IF(AND(VALUE(AJ16&amp;"")&gt;=0,VALUE(AJ16&amp;"")&lt;=39.99),"Level 1","")&amp;IF(AND(VALUE(AJ16&amp;"")&gt;=40,VALUE(AJ16&amp;"")&lt;=59.99),"Level 2","")&amp;IF(AND(VALUE(AJ16&amp;"")&gt;=60,VALUE(AJ16&amp;"")&lt;=79.99),"Level 3","")&amp;IF(AND(VALUE(AJ16&amp;"")&gt;=80,VALUE(AJ16&amp;"")&lt;=100),"Level 4",""),""))</f>
        <v/>
      </c>
      <c r="AL16" s="11"/>
      <c r="AM16" s="13" t="str">
        <f>IF(TRIM(AL16&amp;"")="","",IFERROR(IF(AND(VALUE(AL16&amp;"")&gt;=0,VALUE(AL16&amp;"")&lt;=39.99),"Level 1","")&amp;IF(AND(VALUE(AL16&amp;"")&gt;=40,VALUE(AL16&amp;"")&lt;=59.99),"Level 2","")&amp;IF(AND(VALUE(AL16&amp;"")&gt;=60,VALUE(AL16&amp;"")&lt;=79.99),"Level 3","")&amp;IF(AND(VALUE(AL16&amp;"")&gt;=80,VALUE(AL16&amp;"")&lt;=100),"Level 4",""),""))</f>
        <v/>
      </c>
      <c r="AN16" s="13" t="str">
        <f>IF(((TRIM(AD16&amp;"")&lt;&gt;"")+(TRIM(AF16&amp;"")&lt;&gt;"")+(TRIM(AH16&amp;"")&lt;&gt;"")+(TRIM(AJ16&amp;"")&lt;&gt;"")+(TRIM(AL16&amp;"")&lt;&gt;""))=0,"",IF(AND(((IFERROR(VALUE(AD16&amp;""),0)+IFERROR(VALUE(AF16&amp;""),0)+IFERROR(VALUE(AH16&amp;""),0)+IFERROR(VALUE(AJ16&amp;""),0)+IFERROR(VALUE(AL16&amp;""),0))/500*100)&gt;=80,((IFERROR(VALUE(AD16&amp;""),0)+IFERROR(VALUE(AF16&amp;""),0)+IFERROR(VALUE(AH16&amp;""),0)+IFERROR(VALUE(AJ16&amp;""),0)+IFERROR(VALUE(AL16&amp;""),0))/500*100)&lt;=100),"EXCELLENT","")&amp;IF(AND(((IFERROR(VALUE(AD16&amp;""),0)+IFERROR(VALUE(AF16&amp;""),0)+IFERROR(VALUE(AH16&amp;""),0)+IFERROR(VALUE(AJ16&amp;""),0)+IFERROR(VALUE(AL16&amp;""),0))/500*100)&gt;=60,((IFERROR(VALUE(AD16&amp;""),0)+IFERROR(VALUE(AF16&amp;""),0)+IFERROR(VALUE(AH16&amp;""),0)+IFERROR(VALUE(AJ16&amp;""),0)+IFERROR(VALUE(AL16&amp;""),0))/500*100)&lt;=79.99),"GOOD","")&amp;IF(AND(((IFERROR(VALUE(AD16&amp;""),0)+IFERROR(VALUE(AF16&amp;""),0)+IFERROR(VALUE(AH16&amp;""),0)+IFERROR(VALUE(AJ16&amp;""),0)+IFERROR(VALUE(AL16&amp;""),0))/500*100)&gt;=40,((IFERROR(VALUE(AD16&amp;""),0)+IFERROR(VALUE(AF16&amp;""),0)+IFERROR(VALUE(AH16&amp;""),0)+IFERROR(VALUE(AJ16&amp;""),0)+IFERROR(VALUE(AL16&amp;""),0))/500*100)&lt;=59.99),"AVERAGE","")&amp;IF(AND(((IFERROR(VALUE(AD16&amp;""),0)+IFERROR(VALUE(AF16&amp;""),0)+IFERROR(VALUE(AH16&amp;""),0)+IFERROR(VALUE(AJ16&amp;""),0)+IFERROR(VALUE(AL16&amp;""),0))/500*100)&gt;=0,((IFERROR(VALUE(AD16&amp;""),0)+IFERROR(VALUE(AF16&amp;""),0)+IFERROR(VALUE(AH16&amp;""),0)+IFERROR(VALUE(AJ16&amp;""),0)+IFERROR(VALUE(AL16&amp;""),0))/500*100)&lt;=39.99),"NEEDS SUPPORT",""))</f>
        <v/>
      </c>
      <c r="AO16" s="10" t="s">
        <v>163</v>
      </c>
      <c r="AP16" s="10" t="s">
        <v>164</v>
      </c>
      <c r="AQ16" s="10" t="s">
        <v>95</v>
      </c>
    </row>
    <row r="17" spans="1:43" x14ac:dyDescent="0.25">
      <c r="A17" s="10" t="s">
        <v>165</v>
      </c>
      <c r="B17" s="10" t="s">
        <v>3</v>
      </c>
      <c r="C17" s="10" t="s">
        <v>7</v>
      </c>
      <c r="D17" s="10" t="s">
        <v>166</v>
      </c>
      <c r="E17" s="10" t="s">
        <v>167</v>
      </c>
      <c r="F17" s="10" t="s">
        <v>168</v>
      </c>
      <c r="G17" s="10" t="s">
        <v>8</v>
      </c>
      <c r="H17" s="11"/>
      <c r="I17" s="13" t="str">
        <f>IF(TRIM(H17&amp;"")="","",IFERROR(IF(AND(VALUE(H17&amp;"")&gt;=0,VALUE(H17&amp;"")&lt;=39.99),"Level 1","")&amp;IF(AND(VALUE(H17&amp;"")&gt;=40,VALUE(H17&amp;"")&lt;=59.99),"Level 2","")&amp;IF(AND(VALUE(H17&amp;"")&gt;=60,VALUE(H17&amp;"")&lt;=79.99),"Level 3","")&amp;IF(AND(VALUE(H17&amp;"")&gt;=80,VALUE(H17&amp;"")&lt;=100),"Level 4",""),""))</f>
        <v/>
      </c>
      <c r="J17" s="11"/>
      <c r="K17" s="13" t="str">
        <f>IF(TRIM(J17&amp;"")="","",IFERROR(IF(AND(VALUE(J17&amp;"")&gt;=0,VALUE(J17&amp;"")&lt;=39.99),"Level 1","")&amp;IF(AND(VALUE(J17&amp;"")&gt;=40,VALUE(J17&amp;"")&lt;=59.99),"Level 2","")&amp;IF(AND(VALUE(J17&amp;"")&gt;=60,VALUE(J17&amp;"")&lt;=79.99),"Level 3","")&amp;IF(AND(VALUE(J17&amp;"")&gt;=80,VALUE(J17&amp;"")&lt;=100),"Level 4",""),""))</f>
        <v/>
      </c>
      <c r="L17" s="11"/>
      <c r="M17" s="13" t="str">
        <f>IF(TRIM(L17&amp;"")="","",IFERROR(IF(AND(VALUE(L17&amp;"")&gt;=0,VALUE(L17&amp;"")&lt;=39.99),"Level 1","")&amp;IF(AND(VALUE(L17&amp;"")&gt;=40,VALUE(L17&amp;"")&lt;=59.99),"Level 2","")&amp;IF(AND(VALUE(L17&amp;"")&gt;=60,VALUE(L17&amp;"")&lt;=79.99),"Level 3","")&amp;IF(AND(VALUE(L17&amp;"")&gt;=80,VALUE(L17&amp;"")&lt;=100),"Level 4",""),""))</f>
        <v/>
      </c>
      <c r="N17" s="11"/>
      <c r="O17" s="13" t="str">
        <f>IF(TRIM(N17&amp;"")="","",IFERROR(IF(AND(VALUE(N17&amp;"")&gt;=0,VALUE(N17&amp;"")&lt;=39.99),"Level 1","")&amp;IF(AND(VALUE(N17&amp;"")&gt;=40,VALUE(N17&amp;"")&lt;=59.99),"Level 2","")&amp;IF(AND(VALUE(N17&amp;"")&gt;=60,VALUE(N17&amp;"")&lt;=79.99),"Level 3","")&amp;IF(AND(VALUE(N17&amp;"")&gt;=80,VALUE(N17&amp;"")&lt;=100),"Level 4",""),""))</f>
        <v/>
      </c>
      <c r="P17" s="11"/>
      <c r="Q17" s="13" t="str">
        <f>IF(TRIM(P17&amp;"")="","",IFERROR(IF(AND(VALUE(P17&amp;"")&gt;=0,VALUE(P17&amp;"")&lt;=39.99),"Level 1","")&amp;IF(AND(VALUE(P17&amp;"")&gt;=40,VALUE(P17&amp;"")&lt;=59.99),"Level 2","")&amp;IF(AND(VALUE(P17&amp;"")&gt;=60,VALUE(P17&amp;"")&lt;=79.99),"Level 3","")&amp;IF(AND(VALUE(P17&amp;"")&gt;=80,VALUE(P17&amp;"")&lt;=100),"Level 4",""),""))</f>
        <v/>
      </c>
      <c r="R17" s="13" t="str">
        <f>IF(((TRIM(H17&amp;"")&lt;&gt;"")+(TRIM(J17&amp;"")&lt;&gt;"")+(TRIM(L17&amp;"")&lt;&gt;"")+(TRIM(N17&amp;"")&lt;&gt;"")+(TRIM(P17&amp;"")&lt;&gt;""))=0,"",IF(AND(((IFERROR(VALUE(H17&amp;""),0)+IFERROR(VALUE(J17&amp;""),0)+IFERROR(VALUE(L17&amp;""),0)+IFERROR(VALUE(N17&amp;""),0)+IFERROR(VALUE(P17&amp;""),0))/500*100)&gt;=80,((IFERROR(VALUE(H17&amp;""),0)+IFERROR(VALUE(J17&amp;""),0)+IFERROR(VALUE(L17&amp;""),0)+IFERROR(VALUE(N17&amp;""),0)+IFERROR(VALUE(P17&amp;""),0))/500*100)&lt;=100),"EXCELLENT","")&amp;IF(AND(((IFERROR(VALUE(H17&amp;""),0)+IFERROR(VALUE(J17&amp;""),0)+IFERROR(VALUE(L17&amp;""),0)+IFERROR(VALUE(N17&amp;""),0)+IFERROR(VALUE(P17&amp;""),0))/500*100)&gt;=60,((IFERROR(VALUE(H17&amp;""),0)+IFERROR(VALUE(J17&amp;""),0)+IFERROR(VALUE(L17&amp;""),0)+IFERROR(VALUE(N17&amp;""),0)+IFERROR(VALUE(P17&amp;""),0))/500*100)&lt;=79.99),"GOOD","")&amp;IF(AND(((IFERROR(VALUE(H17&amp;""),0)+IFERROR(VALUE(J17&amp;""),0)+IFERROR(VALUE(L17&amp;""),0)+IFERROR(VALUE(N17&amp;""),0)+IFERROR(VALUE(P17&amp;""),0))/500*100)&gt;=40,((IFERROR(VALUE(H17&amp;""),0)+IFERROR(VALUE(J17&amp;""),0)+IFERROR(VALUE(L17&amp;""),0)+IFERROR(VALUE(N17&amp;""),0)+IFERROR(VALUE(P17&amp;""),0))/500*100)&lt;=59.99),"AVERAGE","")&amp;IF(AND(((IFERROR(VALUE(H17&amp;""),0)+IFERROR(VALUE(J17&amp;""),0)+IFERROR(VALUE(L17&amp;""),0)+IFERROR(VALUE(N17&amp;""),0)+IFERROR(VALUE(P17&amp;""),0))/500*100)&gt;=0,((IFERROR(VALUE(H17&amp;""),0)+IFERROR(VALUE(J17&amp;""),0)+IFERROR(VALUE(L17&amp;""),0)+IFERROR(VALUE(N17&amp;""),0)+IFERROR(VALUE(P17&amp;""),0))/500*100)&lt;=39.99),"NEEDS SUPPORT",""))</f>
        <v/>
      </c>
      <c r="S17" s="11"/>
      <c r="T17" s="13" t="str">
        <f>IF(TRIM(S17&amp;"")="","",IFERROR(IF(AND(VALUE(S17&amp;"")&gt;=0,VALUE(S17&amp;"")&lt;=39.99),"Level 1","")&amp;IF(AND(VALUE(S17&amp;"")&gt;=40,VALUE(S17&amp;"")&lt;=59.99),"Level 2","")&amp;IF(AND(VALUE(S17&amp;"")&gt;=60,VALUE(S17&amp;"")&lt;=79.99),"Level 3","")&amp;IF(AND(VALUE(S17&amp;"")&gt;=80,VALUE(S17&amp;"")&lt;=100),"Level 4",""),""))</f>
        <v/>
      </c>
      <c r="U17" s="11"/>
      <c r="V17" s="13" t="str">
        <f>IF(TRIM(U17&amp;"")="","",IFERROR(IF(AND(VALUE(U17&amp;"")&gt;=0,VALUE(U17&amp;"")&lt;=39.99),"Level 1","")&amp;IF(AND(VALUE(U17&amp;"")&gt;=40,VALUE(U17&amp;"")&lt;=59.99),"Level 2","")&amp;IF(AND(VALUE(U17&amp;"")&gt;=60,VALUE(U17&amp;"")&lt;=79.99),"Level 3","")&amp;IF(AND(VALUE(U17&amp;"")&gt;=80,VALUE(U17&amp;"")&lt;=100),"Level 4",""),""))</f>
        <v/>
      </c>
      <c r="W17" s="11"/>
      <c r="X17" s="13" t="str">
        <f>IF(TRIM(W17&amp;"")="","",IFERROR(IF(AND(VALUE(W17&amp;"")&gt;=0,VALUE(W17&amp;"")&lt;=39.99),"Level 1","")&amp;IF(AND(VALUE(W17&amp;"")&gt;=40,VALUE(W17&amp;"")&lt;=59.99),"Level 2","")&amp;IF(AND(VALUE(W17&amp;"")&gt;=60,VALUE(W17&amp;"")&lt;=79.99),"Level 3","")&amp;IF(AND(VALUE(W17&amp;"")&gt;=80,VALUE(W17&amp;"")&lt;=100),"Level 4",""),""))</f>
        <v/>
      </c>
      <c r="Y17" s="11"/>
      <c r="Z17" s="13" t="str">
        <f>IF(TRIM(Y17&amp;"")="","",IFERROR(IF(AND(VALUE(Y17&amp;"")&gt;=0,VALUE(Y17&amp;"")&lt;=39.99),"Level 1","")&amp;IF(AND(VALUE(Y17&amp;"")&gt;=40,VALUE(Y17&amp;"")&lt;=59.99),"Level 2","")&amp;IF(AND(VALUE(Y17&amp;"")&gt;=60,VALUE(Y17&amp;"")&lt;=79.99),"Level 3","")&amp;IF(AND(VALUE(Y17&amp;"")&gt;=80,VALUE(Y17&amp;"")&lt;=100),"Level 4",""),""))</f>
        <v/>
      </c>
      <c r="AA17" s="11"/>
      <c r="AB17" s="13" t="str">
        <f>IF(TRIM(AA17&amp;"")="","",IFERROR(IF(AND(VALUE(AA17&amp;"")&gt;=0,VALUE(AA17&amp;"")&lt;=39.99),"Level 1","")&amp;IF(AND(VALUE(AA17&amp;"")&gt;=40,VALUE(AA17&amp;"")&lt;=59.99),"Level 2","")&amp;IF(AND(VALUE(AA17&amp;"")&gt;=60,VALUE(AA17&amp;"")&lt;=79.99),"Level 3","")&amp;IF(AND(VALUE(AA17&amp;"")&gt;=80,VALUE(AA17&amp;"")&lt;=100),"Level 4",""),""))</f>
        <v/>
      </c>
      <c r="AC17" s="13" t="str">
        <f>IF(((TRIM(S17&amp;"")&lt;&gt;"")+(TRIM(U17&amp;"")&lt;&gt;"")+(TRIM(W17&amp;"")&lt;&gt;"")+(TRIM(Y17&amp;"")&lt;&gt;"")+(TRIM(AA17&amp;"")&lt;&gt;""))=0,"",IF(AND(((IFERROR(VALUE(S17&amp;""),0)+IFERROR(VALUE(U17&amp;""),0)+IFERROR(VALUE(W17&amp;""),0)+IFERROR(VALUE(Y17&amp;""),0)+IFERROR(VALUE(AA17&amp;""),0))/500*100)&gt;=80,((IFERROR(VALUE(S17&amp;""),0)+IFERROR(VALUE(U17&amp;""),0)+IFERROR(VALUE(W17&amp;""),0)+IFERROR(VALUE(Y17&amp;""),0)+IFERROR(VALUE(AA17&amp;""),0))/500*100)&lt;=100),"EXCELLENT","")&amp;IF(AND(((IFERROR(VALUE(S17&amp;""),0)+IFERROR(VALUE(U17&amp;""),0)+IFERROR(VALUE(W17&amp;""),0)+IFERROR(VALUE(Y17&amp;""),0)+IFERROR(VALUE(AA17&amp;""),0))/500*100)&gt;=60,((IFERROR(VALUE(S17&amp;""),0)+IFERROR(VALUE(U17&amp;""),0)+IFERROR(VALUE(W17&amp;""),0)+IFERROR(VALUE(Y17&amp;""),0)+IFERROR(VALUE(AA17&amp;""),0))/500*100)&lt;=79.99),"GOOD","")&amp;IF(AND(((IFERROR(VALUE(S17&amp;""),0)+IFERROR(VALUE(U17&amp;""),0)+IFERROR(VALUE(W17&amp;""),0)+IFERROR(VALUE(Y17&amp;""),0)+IFERROR(VALUE(AA17&amp;""),0))/500*100)&gt;=40,((IFERROR(VALUE(S17&amp;""),0)+IFERROR(VALUE(U17&amp;""),0)+IFERROR(VALUE(W17&amp;""),0)+IFERROR(VALUE(Y17&amp;""),0)+IFERROR(VALUE(AA17&amp;""),0))/500*100)&lt;=59.99),"AVERAGE","")&amp;IF(AND(((IFERROR(VALUE(S17&amp;""),0)+IFERROR(VALUE(U17&amp;""),0)+IFERROR(VALUE(W17&amp;""),0)+IFERROR(VALUE(Y17&amp;""),0)+IFERROR(VALUE(AA17&amp;""),0))/500*100)&gt;=0,((IFERROR(VALUE(S17&amp;""),0)+IFERROR(VALUE(U17&amp;""),0)+IFERROR(VALUE(W17&amp;""),0)+IFERROR(VALUE(Y17&amp;""),0)+IFERROR(VALUE(AA17&amp;""),0))/500*100)&lt;=39.99),"NEEDS SUPPORT",""))</f>
        <v/>
      </c>
      <c r="AD17" s="11"/>
      <c r="AE17" s="13" t="str">
        <f>IF(TRIM(AD17&amp;"")="","",IFERROR(IF(AND(VALUE(AD17&amp;"")&gt;=0,VALUE(AD17&amp;"")&lt;=39.99),"Level 1","")&amp;IF(AND(VALUE(AD17&amp;"")&gt;=40,VALUE(AD17&amp;"")&lt;=59.99),"Level 2","")&amp;IF(AND(VALUE(AD17&amp;"")&gt;=60,VALUE(AD17&amp;"")&lt;=79.99),"Level 3","")&amp;IF(AND(VALUE(AD17&amp;"")&gt;=80,VALUE(AD17&amp;"")&lt;=100),"Level 4",""),""))</f>
        <v/>
      </c>
      <c r="AF17" s="11"/>
      <c r="AG17" s="13" t="str">
        <f>IF(TRIM(AF17&amp;"")="","",IFERROR(IF(AND(VALUE(AF17&amp;"")&gt;=0,VALUE(AF17&amp;"")&lt;=39.99),"Level 1","")&amp;IF(AND(VALUE(AF17&amp;"")&gt;=40,VALUE(AF17&amp;"")&lt;=59.99),"Level 2","")&amp;IF(AND(VALUE(AF17&amp;"")&gt;=60,VALUE(AF17&amp;"")&lt;=79.99),"Level 3","")&amp;IF(AND(VALUE(AF17&amp;"")&gt;=80,VALUE(AF17&amp;"")&lt;=100),"Level 4",""),""))</f>
        <v/>
      </c>
      <c r="AH17" s="11"/>
      <c r="AI17" s="13" t="str">
        <f>IF(TRIM(AH17&amp;"")="","",IFERROR(IF(AND(VALUE(AH17&amp;"")&gt;=0,VALUE(AH17&amp;"")&lt;=39.99),"Level 1","")&amp;IF(AND(VALUE(AH17&amp;"")&gt;=40,VALUE(AH17&amp;"")&lt;=59.99),"Level 2","")&amp;IF(AND(VALUE(AH17&amp;"")&gt;=60,VALUE(AH17&amp;"")&lt;=79.99),"Level 3","")&amp;IF(AND(VALUE(AH17&amp;"")&gt;=80,VALUE(AH17&amp;"")&lt;=100),"Level 4",""),""))</f>
        <v/>
      </c>
      <c r="AJ17" s="11"/>
      <c r="AK17" s="13" t="str">
        <f>IF(TRIM(AJ17&amp;"")="","",IFERROR(IF(AND(VALUE(AJ17&amp;"")&gt;=0,VALUE(AJ17&amp;"")&lt;=39.99),"Level 1","")&amp;IF(AND(VALUE(AJ17&amp;"")&gt;=40,VALUE(AJ17&amp;"")&lt;=59.99),"Level 2","")&amp;IF(AND(VALUE(AJ17&amp;"")&gt;=60,VALUE(AJ17&amp;"")&lt;=79.99),"Level 3","")&amp;IF(AND(VALUE(AJ17&amp;"")&gt;=80,VALUE(AJ17&amp;"")&lt;=100),"Level 4",""),""))</f>
        <v/>
      </c>
      <c r="AL17" s="11"/>
      <c r="AM17" s="13" t="str">
        <f>IF(TRIM(AL17&amp;"")="","",IFERROR(IF(AND(VALUE(AL17&amp;"")&gt;=0,VALUE(AL17&amp;"")&lt;=39.99),"Level 1","")&amp;IF(AND(VALUE(AL17&amp;"")&gt;=40,VALUE(AL17&amp;"")&lt;=59.99),"Level 2","")&amp;IF(AND(VALUE(AL17&amp;"")&gt;=60,VALUE(AL17&amp;"")&lt;=79.99),"Level 3","")&amp;IF(AND(VALUE(AL17&amp;"")&gt;=80,VALUE(AL17&amp;"")&lt;=100),"Level 4",""),""))</f>
        <v/>
      </c>
      <c r="AN17" s="13" t="str">
        <f>IF(((TRIM(AD17&amp;"")&lt;&gt;"")+(TRIM(AF17&amp;"")&lt;&gt;"")+(TRIM(AH17&amp;"")&lt;&gt;"")+(TRIM(AJ17&amp;"")&lt;&gt;"")+(TRIM(AL17&amp;"")&lt;&gt;""))=0,"",IF(AND(((IFERROR(VALUE(AD17&amp;""),0)+IFERROR(VALUE(AF17&amp;""),0)+IFERROR(VALUE(AH17&amp;""),0)+IFERROR(VALUE(AJ17&amp;""),0)+IFERROR(VALUE(AL17&amp;""),0))/500*100)&gt;=80,((IFERROR(VALUE(AD17&amp;""),0)+IFERROR(VALUE(AF17&amp;""),0)+IFERROR(VALUE(AH17&amp;""),0)+IFERROR(VALUE(AJ17&amp;""),0)+IFERROR(VALUE(AL17&amp;""),0))/500*100)&lt;=100),"EXCELLENT","")&amp;IF(AND(((IFERROR(VALUE(AD17&amp;""),0)+IFERROR(VALUE(AF17&amp;""),0)+IFERROR(VALUE(AH17&amp;""),0)+IFERROR(VALUE(AJ17&amp;""),0)+IFERROR(VALUE(AL17&amp;""),0))/500*100)&gt;=60,((IFERROR(VALUE(AD17&amp;""),0)+IFERROR(VALUE(AF17&amp;""),0)+IFERROR(VALUE(AH17&amp;""),0)+IFERROR(VALUE(AJ17&amp;""),0)+IFERROR(VALUE(AL17&amp;""),0))/500*100)&lt;=79.99),"GOOD","")&amp;IF(AND(((IFERROR(VALUE(AD17&amp;""),0)+IFERROR(VALUE(AF17&amp;""),0)+IFERROR(VALUE(AH17&amp;""),0)+IFERROR(VALUE(AJ17&amp;""),0)+IFERROR(VALUE(AL17&amp;""),0))/500*100)&gt;=40,((IFERROR(VALUE(AD17&amp;""),0)+IFERROR(VALUE(AF17&amp;""),0)+IFERROR(VALUE(AH17&amp;""),0)+IFERROR(VALUE(AJ17&amp;""),0)+IFERROR(VALUE(AL17&amp;""),0))/500*100)&lt;=59.99),"AVERAGE","")&amp;IF(AND(((IFERROR(VALUE(AD17&amp;""),0)+IFERROR(VALUE(AF17&amp;""),0)+IFERROR(VALUE(AH17&amp;""),0)+IFERROR(VALUE(AJ17&amp;""),0)+IFERROR(VALUE(AL17&amp;""),0))/500*100)&gt;=0,((IFERROR(VALUE(AD17&amp;""),0)+IFERROR(VALUE(AF17&amp;""),0)+IFERROR(VALUE(AH17&amp;""),0)+IFERROR(VALUE(AJ17&amp;""),0)+IFERROR(VALUE(AL17&amp;""),0))/500*100)&lt;=39.99),"NEEDS SUPPORT",""))</f>
        <v/>
      </c>
      <c r="AO17" s="10" t="s">
        <v>169</v>
      </c>
      <c r="AP17" s="10" t="s">
        <v>170</v>
      </c>
      <c r="AQ17" s="10" t="s">
        <v>95</v>
      </c>
    </row>
    <row r="18" spans="1:43" x14ac:dyDescent="0.25">
      <c r="A18" s="10" t="s">
        <v>171</v>
      </c>
      <c r="B18" s="10" t="s">
        <v>3</v>
      </c>
      <c r="C18" s="10" t="s">
        <v>7</v>
      </c>
      <c r="D18" s="10" t="s">
        <v>172</v>
      </c>
      <c r="E18" s="10" t="s">
        <v>173</v>
      </c>
      <c r="F18" s="10" t="s">
        <v>174</v>
      </c>
      <c r="G18" s="10" t="s">
        <v>5</v>
      </c>
      <c r="H18" s="11"/>
      <c r="I18" s="13" t="str">
        <f>IF(TRIM(H18&amp;"")="","",IFERROR(IF(AND(VALUE(H18&amp;"")&gt;=0,VALUE(H18&amp;"")&lt;=39.99),"Level 1","")&amp;IF(AND(VALUE(H18&amp;"")&gt;=40,VALUE(H18&amp;"")&lt;=59.99),"Level 2","")&amp;IF(AND(VALUE(H18&amp;"")&gt;=60,VALUE(H18&amp;"")&lt;=79.99),"Level 3","")&amp;IF(AND(VALUE(H18&amp;"")&gt;=80,VALUE(H18&amp;"")&lt;=100),"Level 4",""),""))</f>
        <v/>
      </c>
      <c r="J18" s="11"/>
      <c r="K18" s="13" t="str">
        <f>IF(TRIM(J18&amp;"")="","",IFERROR(IF(AND(VALUE(J18&amp;"")&gt;=0,VALUE(J18&amp;"")&lt;=39.99),"Level 1","")&amp;IF(AND(VALUE(J18&amp;"")&gt;=40,VALUE(J18&amp;"")&lt;=59.99),"Level 2","")&amp;IF(AND(VALUE(J18&amp;"")&gt;=60,VALUE(J18&amp;"")&lt;=79.99),"Level 3","")&amp;IF(AND(VALUE(J18&amp;"")&gt;=80,VALUE(J18&amp;"")&lt;=100),"Level 4",""),""))</f>
        <v/>
      </c>
      <c r="L18" s="11"/>
      <c r="M18" s="13" t="str">
        <f>IF(TRIM(L18&amp;"")="","",IFERROR(IF(AND(VALUE(L18&amp;"")&gt;=0,VALUE(L18&amp;"")&lt;=39.99),"Level 1","")&amp;IF(AND(VALUE(L18&amp;"")&gt;=40,VALUE(L18&amp;"")&lt;=59.99),"Level 2","")&amp;IF(AND(VALUE(L18&amp;"")&gt;=60,VALUE(L18&amp;"")&lt;=79.99),"Level 3","")&amp;IF(AND(VALUE(L18&amp;"")&gt;=80,VALUE(L18&amp;"")&lt;=100),"Level 4",""),""))</f>
        <v/>
      </c>
      <c r="N18" s="11"/>
      <c r="O18" s="13" t="str">
        <f>IF(TRIM(N18&amp;"")="","",IFERROR(IF(AND(VALUE(N18&amp;"")&gt;=0,VALUE(N18&amp;"")&lt;=39.99),"Level 1","")&amp;IF(AND(VALUE(N18&amp;"")&gt;=40,VALUE(N18&amp;"")&lt;=59.99),"Level 2","")&amp;IF(AND(VALUE(N18&amp;"")&gt;=60,VALUE(N18&amp;"")&lt;=79.99),"Level 3","")&amp;IF(AND(VALUE(N18&amp;"")&gt;=80,VALUE(N18&amp;"")&lt;=100),"Level 4",""),""))</f>
        <v/>
      </c>
      <c r="P18" s="11"/>
      <c r="Q18" s="13" t="str">
        <f>IF(TRIM(P18&amp;"")="","",IFERROR(IF(AND(VALUE(P18&amp;"")&gt;=0,VALUE(P18&amp;"")&lt;=39.99),"Level 1","")&amp;IF(AND(VALUE(P18&amp;"")&gt;=40,VALUE(P18&amp;"")&lt;=59.99),"Level 2","")&amp;IF(AND(VALUE(P18&amp;"")&gt;=60,VALUE(P18&amp;"")&lt;=79.99),"Level 3","")&amp;IF(AND(VALUE(P18&amp;"")&gt;=80,VALUE(P18&amp;"")&lt;=100),"Level 4",""),""))</f>
        <v/>
      </c>
      <c r="R18" s="13" t="str">
        <f>IF(((TRIM(H18&amp;"")&lt;&gt;"")+(TRIM(J18&amp;"")&lt;&gt;"")+(TRIM(L18&amp;"")&lt;&gt;"")+(TRIM(N18&amp;"")&lt;&gt;"")+(TRIM(P18&amp;"")&lt;&gt;""))=0,"",IF(AND(((IFERROR(VALUE(H18&amp;""),0)+IFERROR(VALUE(J18&amp;""),0)+IFERROR(VALUE(L18&amp;""),0)+IFERROR(VALUE(N18&amp;""),0)+IFERROR(VALUE(P18&amp;""),0))/500*100)&gt;=80,((IFERROR(VALUE(H18&amp;""),0)+IFERROR(VALUE(J18&amp;""),0)+IFERROR(VALUE(L18&amp;""),0)+IFERROR(VALUE(N18&amp;""),0)+IFERROR(VALUE(P18&amp;""),0))/500*100)&lt;=100),"EXCELLENT","")&amp;IF(AND(((IFERROR(VALUE(H18&amp;""),0)+IFERROR(VALUE(J18&amp;""),0)+IFERROR(VALUE(L18&amp;""),0)+IFERROR(VALUE(N18&amp;""),0)+IFERROR(VALUE(P18&amp;""),0))/500*100)&gt;=60,((IFERROR(VALUE(H18&amp;""),0)+IFERROR(VALUE(J18&amp;""),0)+IFERROR(VALUE(L18&amp;""),0)+IFERROR(VALUE(N18&amp;""),0)+IFERROR(VALUE(P18&amp;""),0))/500*100)&lt;=79.99),"GOOD","")&amp;IF(AND(((IFERROR(VALUE(H18&amp;""),0)+IFERROR(VALUE(J18&amp;""),0)+IFERROR(VALUE(L18&amp;""),0)+IFERROR(VALUE(N18&amp;""),0)+IFERROR(VALUE(P18&amp;""),0))/500*100)&gt;=40,((IFERROR(VALUE(H18&amp;""),0)+IFERROR(VALUE(J18&amp;""),0)+IFERROR(VALUE(L18&amp;""),0)+IFERROR(VALUE(N18&amp;""),0)+IFERROR(VALUE(P18&amp;""),0))/500*100)&lt;=59.99),"AVERAGE","")&amp;IF(AND(((IFERROR(VALUE(H18&amp;""),0)+IFERROR(VALUE(J18&amp;""),0)+IFERROR(VALUE(L18&amp;""),0)+IFERROR(VALUE(N18&amp;""),0)+IFERROR(VALUE(P18&amp;""),0))/500*100)&gt;=0,((IFERROR(VALUE(H18&amp;""),0)+IFERROR(VALUE(J18&amp;""),0)+IFERROR(VALUE(L18&amp;""),0)+IFERROR(VALUE(N18&amp;""),0)+IFERROR(VALUE(P18&amp;""),0))/500*100)&lt;=39.99),"NEEDS SUPPORT",""))</f>
        <v/>
      </c>
      <c r="S18" s="11"/>
      <c r="T18" s="13" t="str">
        <f>IF(TRIM(S18&amp;"")="","",IFERROR(IF(AND(VALUE(S18&amp;"")&gt;=0,VALUE(S18&amp;"")&lt;=39.99),"Level 1","")&amp;IF(AND(VALUE(S18&amp;"")&gt;=40,VALUE(S18&amp;"")&lt;=59.99),"Level 2","")&amp;IF(AND(VALUE(S18&amp;"")&gt;=60,VALUE(S18&amp;"")&lt;=79.99),"Level 3","")&amp;IF(AND(VALUE(S18&amp;"")&gt;=80,VALUE(S18&amp;"")&lt;=100),"Level 4",""),""))</f>
        <v/>
      </c>
      <c r="U18" s="11"/>
      <c r="V18" s="13" t="str">
        <f>IF(TRIM(U18&amp;"")="","",IFERROR(IF(AND(VALUE(U18&amp;"")&gt;=0,VALUE(U18&amp;"")&lt;=39.99),"Level 1","")&amp;IF(AND(VALUE(U18&amp;"")&gt;=40,VALUE(U18&amp;"")&lt;=59.99),"Level 2","")&amp;IF(AND(VALUE(U18&amp;"")&gt;=60,VALUE(U18&amp;"")&lt;=79.99),"Level 3","")&amp;IF(AND(VALUE(U18&amp;"")&gt;=80,VALUE(U18&amp;"")&lt;=100),"Level 4",""),""))</f>
        <v/>
      </c>
      <c r="W18" s="11"/>
      <c r="X18" s="13" t="str">
        <f>IF(TRIM(W18&amp;"")="","",IFERROR(IF(AND(VALUE(W18&amp;"")&gt;=0,VALUE(W18&amp;"")&lt;=39.99),"Level 1","")&amp;IF(AND(VALUE(W18&amp;"")&gt;=40,VALUE(W18&amp;"")&lt;=59.99),"Level 2","")&amp;IF(AND(VALUE(W18&amp;"")&gt;=60,VALUE(W18&amp;"")&lt;=79.99),"Level 3","")&amp;IF(AND(VALUE(W18&amp;"")&gt;=80,VALUE(W18&amp;"")&lt;=100),"Level 4",""),""))</f>
        <v/>
      </c>
      <c r="Y18" s="11"/>
      <c r="Z18" s="13" t="str">
        <f>IF(TRIM(Y18&amp;"")="","",IFERROR(IF(AND(VALUE(Y18&amp;"")&gt;=0,VALUE(Y18&amp;"")&lt;=39.99),"Level 1","")&amp;IF(AND(VALUE(Y18&amp;"")&gt;=40,VALUE(Y18&amp;"")&lt;=59.99),"Level 2","")&amp;IF(AND(VALUE(Y18&amp;"")&gt;=60,VALUE(Y18&amp;"")&lt;=79.99),"Level 3","")&amp;IF(AND(VALUE(Y18&amp;"")&gt;=80,VALUE(Y18&amp;"")&lt;=100),"Level 4",""),""))</f>
        <v/>
      </c>
      <c r="AA18" s="11"/>
      <c r="AB18" s="13" t="str">
        <f>IF(TRIM(AA18&amp;"")="","",IFERROR(IF(AND(VALUE(AA18&amp;"")&gt;=0,VALUE(AA18&amp;"")&lt;=39.99),"Level 1","")&amp;IF(AND(VALUE(AA18&amp;"")&gt;=40,VALUE(AA18&amp;"")&lt;=59.99),"Level 2","")&amp;IF(AND(VALUE(AA18&amp;"")&gt;=60,VALUE(AA18&amp;"")&lt;=79.99),"Level 3","")&amp;IF(AND(VALUE(AA18&amp;"")&gt;=80,VALUE(AA18&amp;"")&lt;=100),"Level 4",""),""))</f>
        <v/>
      </c>
      <c r="AC18" s="13" t="str">
        <f>IF(((TRIM(S18&amp;"")&lt;&gt;"")+(TRIM(U18&amp;"")&lt;&gt;"")+(TRIM(W18&amp;"")&lt;&gt;"")+(TRIM(Y18&amp;"")&lt;&gt;"")+(TRIM(AA18&amp;"")&lt;&gt;""))=0,"",IF(AND(((IFERROR(VALUE(S18&amp;""),0)+IFERROR(VALUE(U18&amp;""),0)+IFERROR(VALUE(W18&amp;""),0)+IFERROR(VALUE(Y18&amp;""),0)+IFERROR(VALUE(AA18&amp;""),0))/500*100)&gt;=80,((IFERROR(VALUE(S18&amp;""),0)+IFERROR(VALUE(U18&amp;""),0)+IFERROR(VALUE(W18&amp;""),0)+IFERROR(VALUE(Y18&amp;""),0)+IFERROR(VALUE(AA18&amp;""),0))/500*100)&lt;=100),"EXCELLENT","")&amp;IF(AND(((IFERROR(VALUE(S18&amp;""),0)+IFERROR(VALUE(U18&amp;""),0)+IFERROR(VALUE(W18&amp;""),0)+IFERROR(VALUE(Y18&amp;""),0)+IFERROR(VALUE(AA18&amp;""),0))/500*100)&gt;=60,((IFERROR(VALUE(S18&amp;""),0)+IFERROR(VALUE(U18&amp;""),0)+IFERROR(VALUE(W18&amp;""),0)+IFERROR(VALUE(Y18&amp;""),0)+IFERROR(VALUE(AA18&amp;""),0))/500*100)&lt;=79.99),"GOOD","")&amp;IF(AND(((IFERROR(VALUE(S18&amp;""),0)+IFERROR(VALUE(U18&amp;""),0)+IFERROR(VALUE(W18&amp;""),0)+IFERROR(VALUE(Y18&amp;""),0)+IFERROR(VALUE(AA18&amp;""),0))/500*100)&gt;=40,((IFERROR(VALUE(S18&amp;""),0)+IFERROR(VALUE(U18&amp;""),0)+IFERROR(VALUE(W18&amp;""),0)+IFERROR(VALUE(Y18&amp;""),0)+IFERROR(VALUE(AA18&amp;""),0))/500*100)&lt;=59.99),"AVERAGE","")&amp;IF(AND(((IFERROR(VALUE(S18&amp;""),0)+IFERROR(VALUE(U18&amp;""),0)+IFERROR(VALUE(W18&amp;""),0)+IFERROR(VALUE(Y18&amp;""),0)+IFERROR(VALUE(AA18&amp;""),0))/500*100)&gt;=0,((IFERROR(VALUE(S18&amp;""),0)+IFERROR(VALUE(U18&amp;""),0)+IFERROR(VALUE(W18&amp;""),0)+IFERROR(VALUE(Y18&amp;""),0)+IFERROR(VALUE(AA18&amp;""),0))/500*100)&lt;=39.99),"NEEDS SUPPORT",""))</f>
        <v/>
      </c>
      <c r="AD18" s="11"/>
      <c r="AE18" s="13" t="str">
        <f>IF(TRIM(AD18&amp;"")="","",IFERROR(IF(AND(VALUE(AD18&amp;"")&gt;=0,VALUE(AD18&amp;"")&lt;=39.99),"Level 1","")&amp;IF(AND(VALUE(AD18&amp;"")&gt;=40,VALUE(AD18&amp;"")&lt;=59.99),"Level 2","")&amp;IF(AND(VALUE(AD18&amp;"")&gt;=60,VALUE(AD18&amp;"")&lt;=79.99),"Level 3","")&amp;IF(AND(VALUE(AD18&amp;"")&gt;=80,VALUE(AD18&amp;"")&lt;=100),"Level 4",""),""))</f>
        <v/>
      </c>
      <c r="AF18" s="11"/>
      <c r="AG18" s="13" t="str">
        <f>IF(TRIM(AF18&amp;"")="","",IFERROR(IF(AND(VALUE(AF18&amp;"")&gt;=0,VALUE(AF18&amp;"")&lt;=39.99),"Level 1","")&amp;IF(AND(VALUE(AF18&amp;"")&gt;=40,VALUE(AF18&amp;"")&lt;=59.99),"Level 2","")&amp;IF(AND(VALUE(AF18&amp;"")&gt;=60,VALUE(AF18&amp;"")&lt;=79.99),"Level 3","")&amp;IF(AND(VALUE(AF18&amp;"")&gt;=80,VALUE(AF18&amp;"")&lt;=100),"Level 4",""),""))</f>
        <v/>
      </c>
      <c r="AH18" s="11"/>
      <c r="AI18" s="13" t="str">
        <f>IF(TRIM(AH18&amp;"")="","",IFERROR(IF(AND(VALUE(AH18&amp;"")&gt;=0,VALUE(AH18&amp;"")&lt;=39.99),"Level 1","")&amp;IF(AND(VALUE(AH18&amp;"")&gt;=40,VALUE(AH18&amp;"")&lt;=59.99),"Level 2","")&amp;IF(AND(VALUE(AH18&amp;"")&gt;=60,VALUE(AH18&amp;"")&lt;=79.99),"Level 3","")&amp;IF(AND(VALUE(AH18&amp;"")&gt;=80,VALUE(AH18&amp;"")&lt;=100),"Level 4",""),""))</f>
        <v/>
      </c>
      <c r="AJ18" s="11"/>
      <c r="AK18" s="13" t="str">
        <f>IF(TRIM(AJ18&amp;"")="","",IFERROR(IF(AND(VALUE(AJ18&amp;"")&gt;=0,VALUE(AJ18&amp;"")&lt;=39.99),"Level 1","")&amp;IF(AND(VALUE(AJ18&amp;"")&gt;=40,VALUE(AJ18&amp;"")&lt;=59.99),"Level 2","")&amp;IF(AND(VALUE(AJ18&amp;"")&gt;=60,VALUE(AJ18&amp;"")&lt;=79.99),"Level 3","")&amp;IF(AND(VALUE(AJ18&amp;"")&gt;=80,VALUE(AJ18&amp;"")&lt;=100),"Level 4",""),""))</f>
        <v/>
      </c>
      <c r="AL18" s="11"/>
      <c r="AM18" s="13" t="str">
        <f>IF(TRIM(AL18&amp;"")="","",IFERROR(IF(AND(VALUE(AL18&amp;"")&gt;=0,VALUE(AL18&amp;"")&lt;=39.99),"Level 1","")&amp;IF(AND(VALUE(AL18&amp;"")&gt;=40,VALUE(AL18&amp;"")&lt;=59.99),"Level 2","")&amp;IF(AND(VALUE(AL18&amp;"")&gt;=60,VALUE(AL18&amp;"")&lt;=79.99),"Level 3","")&amp;IF(AND(VALUE(AL18&amp;"")&gt;=80,VALUE(AL18&amp;"")&lt;=100),"Level 4",""),""))</f>
        <v/>
      </c>
      <c r="AN18" s="13" t="str">
        <f>IF(((TRIM(AD18&amp;"")&lt;&gt;"")+(TRIM(AF18&amp;"")&lt;&gt;"")+(TRIM(AH18&amp;"")&lt;&gt;"")+(TRIM(AJ18&amp;"")&lt;&gt;"")+(TRIM(AL18&amp;"")&lt;&gt;""))=0,"",IF(AND(((IFERROR(VALUE(AD18&amp;""),0)+IFERROR(VALUE(AF18&amp;""),0)+IFERROR(VALUE(AH18&amp;""),0)+IFERROR(VALUE(AJ18&amp;""),0)+IFERROR(VALUE(AL18&amp;""),0))/500*100)&gt;=80,((IFERROR(VALUE(AD18&amp;""),0)+IFERROR(VALUE(AF18&amp;""),0)+IFERROR(VALUE(AH18&amp;""),0)+IFERROR(VALUE(AJ18&amp;""),0)+IFERROR(VALUE(AL18&amp;""),0))/500*100)&lt;=100),"EXCELLENT","")&amp;IF(AND(((IFERROR(VALUE(AD18&amp;""),0)+IFERROR(VALUE(AF18&amp;""),0)+IFERROR(VALUE(AH18&amp;""),0)+IFERROR(VALUE(AJ18&amp;""),0)+IFERROR(VALUE(AL18&amp;""),0))/500*100)&gt;=60,((IFERROR(VALUE(AD18&amp;""),0)+IFERROR(VALUE(AF18&amp;""),0)+IFERROR(VALUE(AH18&amp;""),0)+IFERROR(VALUE(AJ18&amp;""),0)+IFERROR(VALUE(AL18&amp;""),0))/500*100)&lt;=79.99),"GOOD","")&amp;IF(AND(((IFERROR(VALUE(AD18&amp;""),0)+IFERROR(VALUE(AF18&amp;""),0)+IFERROR(VALUE(AH18&amp;""),0)+IFERROR(VALUE(AJ18&amp;""),0)+IFERROR(VALUE(AL18&amp;""),0))/500*100)&gt;=40,((IFERROR(VALUE(AD18&amp;""),0)+IFERROR(VALUE(AF18&amp;""),0)+IFERROR(VALUE(AH18&amp;""),0)+IFERROR(VALUE(AJ18&amp;""),0)+IFERROR(VALUE(AL18&amp;""),0))/500*100)&lt;=59.99),"AVERAGE","")&amp;IF(AND(((IFERROR(VALUE(AD18&amp;""),0)+IFERROR(VALUE(AF18&amp;""),0)+IFERROR(VALUE(AH18&amp;""),0)+IFERROR(VALUE(AJ18&amp;""),0)+IFERROR(VALUE(AL18&amp;""),0))/500*100)&gt;=0,((IFERROR(VALUE(AD18&amp;""),0)+IFERROR(VALUE(AF18&amp;""),0)+IFERROR(VALUE(AH18&amp;""),0)+IFERROR(VALUE(AJ18&amp;""),0)+IFERROR(VALUE(AL18&amp;""),0))/500*100)&lt;=39.99),"NEEDS SUPPORT",""))</f>
        <v/>
      </c>
      <c r="AO18" s="10" t="s">
        <v>175</v>
      </c>
      <c r="AP18" s="10" t="s">
        <v>176</v>
      </c>
      <c r="AQ18" s="10" t="s">
        <v>95</v>
      </c>
    </row>
    <row r="19" spans="1:43" x14ac:dyDescent="0.25">
      <c r="A19" s="10" t="s">
        <v>177</v>
      </c>
      <c r="B19" s="10" t="s">
        <v>3</v>
      </c>
      <c r="C19" s="10" t="s">
        <v>7</v>
      </c>
      <c r="D19" s="10" t="s">
        <v>178</v>
      </c>
      <c r="E19" s="10" t="s">
        <v>179</v>
      </c>
      <c r="F19" s="10" t="s">
        <v>111</v>
      </c>
      <c r="G19" s="10" t="s">
        <v>8</v>
      </c>
      <c r="H19" s="11"/>
      <c r="I19" s="13" t="str">
        <f>IF(TRIM(H19&amp;"")="","",IFERROR(IF(AND(VALUE(H19&amp;"")&gt;=0,VALUE(H19&amp;"")&lt;=39.99),"Level 1","")&amp;IF(AND(VALUE(H19&amp;"")&gt;=40,VALUE(H19&amp;"")&lt;=59.99),"Level 2","")&amp;IF(AND(VALUE(H19&amp;"")&gt;=60,VALUE(H19&amp;"")&lt;=79.99),"Level 3","")&amp;IF(AND(VALUE(H19&amp;"")&gt;=80,VALUE(H19&amp;"")&lt;=100),"Level 4",""),""))</f>
        <v/>
      </c>
      <c r="J19" s="11"/>
      <c r="K19" s="13" t="str">
        <f>IF(TRIM(J19&amp;"")="","",IFERROR(IF(AND(VALUE(J19&amp;"")&gt;=0,VALUE(J19&amp;"")&lt;=39.99),"Level 1","")&amp;IF(AND(VALUE(J19&amp;"")&gt;=40,VALUE(J19&amp;"")&lt;=59.99),"Level 2","")&amp;IF(AND(VALUE(J19&amp;"")&gt;=60,VALUE(J19&amp;"")&lt;=79.99),"Level 3","")&amp;IF(AND(VALUE(J19&amp;"")&gt;=80,VALUE(J19&amp;"")&lt;=100),"Level 4",""),""))</f>
        <v/>
      </c>
      <c r="L19" s="11"/>
      <c r="M19" s="13" t="str">
        <f>IF(TRIM(L19&amp;"")="","",IFERROR(IF(AND(VALUE(L19&amp;"")&gt;=0,VALUE(L19&amp;"")&lt;=39.99),"Level 1","")&amp;IF(AND(VALUE(L19&amp;"")&gt;=40,VALUE(L19&amp;"")&lt;=59.99),"Level 2","")&amp;IF(AND(VALUE(L19&amp;"")&gt;=60,VALUE(L19&amp;"")&lt;=79.99),"Level 3","")&amp;IF(AND(VALUE(L19&amp;"")&gt;=80,VALUE(L19&amp;"")&lt;=100),"Level 4",""),""))</f>
        <v/>
      </c>
      <c r="N19" s="11"/>
      <c r="O19" s="13" t="str">
        <f>IF(TRIM(N19&amp;"")="","",IFERROR(IF(AND(VALUE(N19&amp;"")&gt;=0,VALUE(N19&amp;"")&lt;=39.99),"Level 1","")&amp;IF(AND(VALUE(N19&amp;"")&gt;=40,VALUE(N19&amp;"")&lt;=59.99),"Level 2","")&amp;IF(AND(VALUE(N19&amp;"")&gt;=60,VALUE(N19&amp;"")&lt;=79.99),"Level 3","")&amp;IF(AND(VALUE(N19&amp;"")&gt;=80,VALUE(N19&amp;"")&lt;=100),"Level 4",""),""))</f>
        <v/>
      </c>
      <c r="P19" s="11"/>
      <c r="Q19" s="13" t="str">
        <f>IF(TRIM(P19&amp;"")="","",IFERROR(IF(AND(VALUE(P19&amp;"")&gt;=0,VALUE(P19&amp;"")&lt;=39.99),"Level 1","")&amp;IF(AND(VALUE(P19&amp;"")&gt;=40,VALUE(P19&amp;"")&lt;=59.99),"Level 2","")&amp;IF(AND(VALUE(P19&amp;"")&gt;=60,VALUE(P19&amp;"")&lt;=79.99),"Level 3","")&amp;IF(AND(VALUE(P19&amp;"")&gt;=80,VALUE(P19&amp;"")&lt;=100),"Level 4",""),""))</f>
        <v/>
      </c>
      <c r="R19" s="13" t="str">
        <f>IF(((TRIM(H19&amp;"")&lt;&gt;"")+(TRIM(J19&amp;"")&lt;&gt;"")+(TRIM(L19&amp;"")&lt;&gt;"")+(TRIM(N19&amp;"")&lt;&gt;"")+(TRIM(P19&amp;"")&lt;&gt;""))=0,"",IF(AND(((IFERROR(VALUE(H19&amp;""),0)+IFERROR(VALUE(J19&amp;""),0)+IFERROR(VALUE(L19&amp;""),0)+IFERROR(VALUE(N19&amp;""),0)+IFERROR(VALUE(P19&amp;""),0))/500*100)&gt;=80,((IFERROR(VALUE(H19&amp;""),0)+IFERROR(VALUE(J19&amp;""),0)+IFERROR(VALUE(L19&amp;""),0)+IFERROR(VALUE(N19&amp;""),0)+IFERROR(VALUE(P19&amp;""),0))/500*100)&lt;=100),"EXCELLENT","")&amp;IF(AND(((IFERROR(VALUE(H19&amp;""),0)+IFERROR(VALUE(J19&amp;""),0)+IFERROR(VALUE(L19&amp;""),0)+IFERROR(VALUE(N19&amp;""),0)+IFERROR(VALUE(P19&amp;""),0))/500*100)&gt;=60,((IFERROR(VALUE(H19&amp;""),0)+IFERROR(VALUE(J19&amp;""),0)+IFERROR(VALUE(L19&amp;""),0)+IFERROR(VALUE(N19&amp;""),0)+IFERROR(VALUE(P19&amp;""),0))/500*100)&lt;=79.99),"GOOD","")&amp;IF(AND(((IFERROR(VALUE(H19&amp;""),0)+IFERROR(VALUE(J19&amp;""),0)+IFERROR(VALUE(L19&amp;""),0)+IFERROR(VALUE(N19&amp;""),0)+IFERROR(VALUE(P19&amp;""),0))/500*100)&gt;=40,((IFERROR(VALUE(H19&amp;""),0)+IFERROR(VALUE(J19&amp;""),0)+IFERROR(VALUE(L19&amp;""),0)+IFERROR(VALUE(N19&amp;""),0)+IFERROR(VALUE(P19&amp;""),0))/500*100)&lt;=59.99),"AVERAGE","")&amp;IF(AND(((IFERROR(VALUE(H19&amp;""),0)+IFERROR(VALUE(J19&amp;""),0)+IFERROR(VALUE(L19&amp;""),0)+IFERROR(VALUE(N19&amp;""),0)+IFERROR(VALUE(P19&amp;""),0))/500*100)&gt;=0,((IFERROR(VALUE(H19&amp;""),0)+IFERROR(VALUE(J19&amp;""),0)+IFERROR(VALUE(L19&amp;""),0)+IFERROR(VALUE(N19&amp;""),0)+IFERROR(VALUE(P19&amp;""),0))/500*100)&lt;=39.99),"NEEDS SUPPORT",""))</f>
        <v/>
      </c>
      <c r="S19" s="11"/>
      <c r="T19" s="13" t="str">
        <f>IF(TRIM(S19&amp;"")="","",IFERROR(IF(AND(VALUE(S19&amp;"")&gt;=0,VALUE(S19&amp;"")&lt;=39.99),"Level 1","")&amp;IF(AND(VALUE(S19&amp;"")&gt;=40,VALUE(S19&amp;"")&lt;=59.99),"Level 2","")&amp;IF(AND(VALUE(S19&amp;"")&gt;=60,VALUE(S19&amp;"")&lt;=79.99),"Level 3","")&amp;IF(AND(VALUE(S19&amp;"")&gt;=80,VALUE(S19&amp;"")&lt;=100),"Level 4",""),""))</f>
        <v/>
      </c>
      <c r="U19" s="11"/>
      <c r="V19" s="13" t="str">
        <f>IF(TRIM(U19&amp;"")="","",IFERROR(IF(AND(VALUE(U19&amp;"")&gt;=0,VALUE(U19&amp;"")&lt;=39.99),"Level 1","")&amp;IF(AND(VALUE(U19&amp;"")&gt;=40,VALUE(U19&amp;"")&lt;=59.99),"Level 2","")&amp;IF(AND(VALUE(U19&amp;"")&gt;=60,VALUE(U19&amp;"")&lt;=79.99),"Level 3","")&amp;IF(AND(VALUE(U19&amp;"")&gt;=80,VALUE(U19&amp;"")&lt;=100),"Level 4",""),""))</f>
        <v/>
      </c>
      <c r="W19" s="11"/>
      <c r="X19" s="13" t="str">
        <f>IF(TRIM(W19&amp;"")="","",IFERROR(IF(AND(VALUE(W19&amp;"")&gt;=0,VALUE(W19&amp;"")&lt;=39.99),"Level 1","")&amp;IF(AND(VALUE(W19&amp;"")&gt;=40,VALUE(W19&amp;"")&lt;=59.99),"Level 2","")&amp;IF(AND(VALUE(W19&amp;"")&gt;=60,VALUE(W19&amp;"")&lt;=79.99),"Level 3","")&amp;IF(AND(VALUE(W19&amp;"")&gt;=80,VALUE(W19&amp;"")&lt;=100),"Level 4",""),""))</f>
        <v/>
      </c>
      <c r="Y19" s="11"/>
      <c r="Z19" s="13" t="str">
        <f>IF(TRIM(Y19&amp;"")="","",IFERROR(IF(AND(VALUE(Y19&amp;"")&gt;=0,VALUE(Y19&amp;"")&lt;=39.99),"Level 1","")&amp;IF(AND(VALUE(Y19&amp;"")&gt;=40,VALUE(Y19&amp;"")&lt;=59.99),"Level 2","")&amp;IF(AND(VALUE(Y19&amp;"")&gt;=60,VALUE(Y19&amp;"")&lt;=79.99),"Level 3","")&amp;IF(AND(VALUE(Y19&amp;"")&gt;=80,VALUE(Y19&amp;"")&lt;=100),"Level 4",""),""))</f>
        <v/>
      </c>
      <c r="AA19" s="11"/>
      <c r="AB19" s="13" t="str">
        <f>IF(TRIM(AA19&amp;"")="","",IFERROR(IF(AND(VALUE(AA19&amp;"")&gt;=0,VALUE(AA19&amp;"")&lt;=39.99),"Level 1","")&amp;IF(AND(VALUE(AA19&amp;"")&gt;=40,VALUE(AA19&amp;"")&lt;=59.99),"Level 2","")&amp;IF(AND(VALUE(AA19&amp;"")&gt;=60,VALUE(AA19&amp;"")&lt;=79.99),"Level 3","")&amp;IF(AND(VALUE(AA19&amp;"")&gt;=80,VALUE(AA19&amp;"")&lt;=100),"Level 4",""),""))</f>
        <v/>
      </c>
      <c r="AC19" s="13" t="str">
        <f>IF(((TRIM(S19&amp;"")&lt;&gt;"")+(TRIM(U19&amp;"")&lt;&gt;"")+(TRIM(W19&amp;"")&lt;&gt;"")+(TRIM(Y19&amp;"")&lt;&gt;"")+(TRIM(AA19&amp;"")&lt;&gt;""))=0,"",IF(AND(((IFERROR(VALUE(S19&amp;""),0)+IFERROR(VALUE(U19&amp;""),0)+IFERROR(VALUE(W19&amp;""),0)+IFERROR(VALUE(Y19&amp;""),0)+IFERROR(VALUE(AA19&amp;""),0))/500*100)&gt;=80,((IFERROR(VALUE(S19&amp;""),0)+IFERROR(VALUE(U19&amp;""),0)+IFERROR(VALUE(W19&amp;""),0)+IFERROR(VALUE(Y19&amp;""),0)+IFERROR(VALUE(AA19&amp;""),0))/500*100)&lt;=100),"EXCELLENT","")&amp;IF(AND(((IFERROR(VALUE(S19&amp;""),0)+IFERROR(VALUE(U19&amp;""),0)+IFERROR(VALUE(W19&amp;""),0)+IFERROR(VALUE(Y19&amp;""),0)+IFERROR(VALUE(AA19&amp;""),0))/500*100)&gt;=60,((IFERROR(VALUE(S19&amp;""),0)+IFERROR(VALUE(U19&amp;""),0)+IFERROR(VALUE(W19&amp;""),0)+IFERROR(VALUE(Y19&amp;""),0)+IFERROR(VALUE(AA19&amp;""),0))/500*100)&lt;=79.99),"GOOD","")&amp;IF(AND(((IFERROR(VALUE(S19&amp;""),0)+IFERROR(VALUE(U19&amp;""),0)+IFERROR(VALUE(W19&amp;""),0)+IFERROR(VALUE(Y19&amp;""),0)+IFERROR(VALUE(AA19&amp;""),0))/500*100)&gt;=40,((IFERROR(VALUE(S19&amp;""),0)+IFERROR(VALUE(U19&amp;""),0)+IFERROR(VALUE(W19&amp;""),0)+IFERROR(VALUE(Y19&amp;""),0)+IFERROR(VALUE(AA19&amp;""),0))/500*100)&lt;=59.99),"AVERAGE","")&amp;IF(AND(((IFERROR(VALUE(S19&amp;""),0)+IFERROR(VALUE(U19&amp;""),0)+IFERROR(VALUE(W19&amp;""),0)+IFERROR(VALUE(Y19&amp;""),0)+IFERROR(VALUE(AA19&amp;""),0))/500*100)&gt;=0,((IFERROR(VALUE(S19&amp;""),0)+IFERROR(VALUE(U19&amp;""),0)+IFERROR(VALUE(W19&amp;""),0)+IFERROR(VALUE(Y19&amp;""),0)+IFERROR(VALUE(AA19&amp;""),0))/500*100)&lt;=39.99),"NEEDS SUPPORT",""))</f>
        <v/>
      </c>
      <c r="AD19" s="11"/>
      <c r="AE19" s="13" t="str">
        <f>IF(TRIM(AD19&amp;"")="","",IFERROR(IF(AND(VALUE(AD19&amp;"")&gt;=0,VALUE(AD19&amp;"")&lt;=39.99),"Level 1","")&amp;IF(AND(VALUE(AD19&amp;"")&gt;=40,VALUE(AD19&amp;"")&lt;=59.99),"Level 2","")&amp;IF(AND(VALUE(AD19&amp;"")&gt;=60,VALUE(AD19&amp;"")&lt;=79.99),"Level 3","")&amp;IF(AND(VALUE(AD19&amp;"")&gt;=80,VALUE(AD19&amp;"")&lt;=100),"Level 4",""),""))</f>
        <v/>
      </c>
      <c r="AF19" s="11"/>
      <c r="AG19" s="13" t="str">
        <f>IF(TRIM(AF19&amp;"")="","",IFERROR(IF(AND(VALUE(AF19&amp;"")&gt;=0,VALUE(AF19&amp;"")&lt;=39.99),"Level 1","")&amp;IF(AND(VALUE(AF19&amp;"")&gt;=40,VALUE(AF19&amp;"")&lt;=59.99),"Level 2","")&amp;IF(AND(VALUE(AF19&amp;"")&gt;=60,VALUE(AF19&amp;"")&lt;=79.99),"Level 3","")&amp;IF(AND(VALUE(AF19&amp;"")&gt;=80,VALUE(AF19&amp;"")&lt;=100),"Level 4",""),""))</f>
        <v/>
      </c>
      <c r="AH19" s="11"/>
      <c r="AI19" s="13" t="str">
        <f>IF(TRIM(AH19&amp;"")="","",IFERROR(IF(AND(VALUE(AH19&amp;"")&gt;=0,VALUE(AH19&amp;"")&lt;=39.99),"Level 1","")&amp;IF(AND(VALUE(AH19&amp;"")&gt;=40,VALUE(AH19&amp;"")&lt;=59.99),"Level 2","")&amp;IF(AND(VALUE(AH19&amp;"")&gt;=60,VALUE(AH19&amp;"")&lt;=79.99),"Level 3","")&amp;IF(AND(VALUE(AH19&amp;"")&gt;=80,VALUE(AH19&amp;"")&lt;=100),"Level 4",""),""))</f>
        <v/>
      </c>
      <c r="AJ19" s="11"/>
      <c r="AK19" s="13" t="str">
        <f>IF(TRIM(AJ19&amp;"")="","",IFERROR(IF(AND(VALUE(AJ19&amp;"")&gt;=0,VALUE(AJ19&amp;"")&lt;=39.99),"Level 1","")&amp;IF(AND(VALUE(AJ19&amp;"")&gt;=40,VALUE(AJ19&amp;"")&lt;=59.99),"Level 2","")&amp;IF(AND(VALUE(AJ19&amp;"")&gt;=60,VALUE(AJ19&amp;"")&lt;=79.99),"Level 3","")&amp;IF(AND(VALUE(AJ19&amp;"")&gt;=80,VALUE(AJ19&amp;"")&lt;=100),"Level 4",""),""))</f>
        <v/>
      </c>
      <c r="AL19" s="11"/>
      <c r="AM19" s="13" t="str">
        <f>IF(TRIM(AL19&amp;"")="","",IFERROR(IF(AND(VALUE(AL19&amp;"")&gt;=0,VALUE(AL19&amp;"")&lt;=39.99),"Level 1","")&amp;IF(AND(VALUE(AL19&amp;"")&gt;=40,VALUE(AL19&amp;"")&lt;=59.99),"Level 2","")&amp;IF(AND(VALUE(AL19&amp;"")&gt;=60,VALUE(AL19&amp;"")&lt;=79.99),"Level 3","")&amp;IF(AND(VALUE(AL19&amp;"")&gt;=80,VALUE(AL19&amp;"")&lt;=100),"Level 4",""),""))</f>
        <v/>
      </c>
      <c r="AN19" s="13" t="str">
        <f>IF(((TRIM(AD19&amp;"")&lt;&gt;"")+(TRIM(AF19&amp;"")&lt;&gt;"")+(TRIM(AH19&amp;"")&lt;&gt;"")+(TRIM(AJ19&amp;"")&lt;&gt;"")+(TRIM(AL19&amp;"")&lt;&gt;""))=0,"",IF(AND(((IFERROR(VALUE(AD19&amp;""),0)+IFERROR(VALUE(AF19&amp;""),0)+IFERROR(VALUE(AH19&amp;""),0)+IFERROR(VALUE(AJ19&amp;""),0)+IFERROR(VALUE(AL19&amp;""),0))/500*100)&gt;=80,((IFERROR(VALUE(AD19&amp;""),0)+IFERROR(VALUE(AF19&amp;""),0)+IFERROR(VALUE(AH19&amp;""),0)+IFERROR(VALUE(AJ19&amp;""),0)+IFERROR(VALUE(AL19&amp;""),0))/500*100)&lt;=100),"EXCELLENT","")&amp;IF(AND(((IFERROR(VALUE(AD19&amp;""),0)+IFERROR(VALUE(AF19&amp;""),0)+IFERROR(VALUE(AH19&amp;""),0)+IFERROR(VALUE(AJ19&amp;""),0)+IFERROR(VALUE(AL19&amp;""),0))/500*100)&gt;=60,((IFERROR(VALUE(AD19&amp;""),0)+IFERROR(VALUE(AF19&amp;""),0)+IFERROR(VALUE(AH19&amp;""),0)+IFERROR(VALUE(AJ19&amp;""),0)+IFERROR(VALUE(AL19&amp;""),0))/500*100)&lt;=79.99),"GOOD","")&amp;IF(AND(((IFERROR(VALUE(AD19&amp;""),0)+IFERROR(VALUE(AF19&amp;""),0)+IFERROR(VALUE(AH19&amp;""),0)+IFERROR(VALUE(AJ19&amp;""),0)+IFERROR(VALUE(AL19&amp;""),0))/500*100)&gt;=40,((IFERROR(VALUE(AD19&amp;""),0)+IFERROR(VALUE(AF19&amp;""),0)+IFERROR(VALUE(AH19&amp;""),0)+IFERROR(VALUE(AJ19&amp;""),0)+IFERROR(VALUE(AL19&amp;""),0))/500*100)&lt;=59.99),"AVERAGE","")&amp;IF(AND(((IFERROR(VALUE(AD19&amp;""),0)+IFERROR(VALUE(AF19&amp;""),0)+IFERROR(VALUE(AH19&amp;""),0)+IFERROR(VALUE(AJ19&amp;""),0)+IFERROR(VALUE(AL19&amp;""),0))/500*100)&gt;=0,((IFERROR(VALUE(AD19&amp;""),0)+IFERROR(VALUE(AF19&amp;""),0)+IFERROR(VALUE(AH19&amp;""),0)+IFERROR(VALUE(AJ19&amp;""),0)+IFERROR(VALUE(AL19&amp;""),0))/500*100)&lt;=39.99),"NEEDS SUPPORT",""))</f>
        <v/>
      </c>
      <c r="AO19" s="10" t="s">
        <v>180</v>
      </c>
      <c r="AP19" s="10" t="s">
        <v>181</v>
      </c>
      <c r="AQ19" s="10" t="s">
        <v>95</v>
      </c>
    </row>
    <row r="20" spans="1:43" x14ac:dyDescent="0.25">
      <c r="A20" s="10" t="s">
        <v>182</v>
      </c>
      <c r="B20" s="10" t="s">
        <v>3</v>
      </c>
      <c r="C20" s="10" t="s">
        <v>7</v>
      </c>
      <c r="D20" s="10" t="s">
        <v>183</v>
      </c>
      <c r="E20" s="10" t="s">
        <v>184</v>
      </c>
      <c r="F20" s="10" t="s">
        <v>185</v>
      </c>
      <c r="G20" s="10" t="s">
        <v>8</v>
      </c>
      <c r="H20" s="11"/>
      <c r="I20" s="13" t="str">
        <f>IF(TRIM(H20&amp;"")="","",IFERROR(IF(AND(VALUE(H20&amp;"")&gt;=0,VALUE(H20&amp;"")&lt;=39.99),"Level 1","")&amp;IF(AND(VALUE(H20&amp;"")&gt;=40,VALUE(H20&amp;"")&lt;=59.99),"Level 2","")&amp;IF(AND(VALUE(H20&amp;"")&gt;=60,VALUE(H20&amp;"")&lt;=79.99),"Level 3","")&amp;IF(AND(VALUE(H20&amp;"")&gt;=80,VALUE(H20&amp;"")&lt;=100),"Level 4",""),""))</f>
        <v/>
      </c>
      <c r="J20" s="11"/>
      <c r="K20" s="13" t="str">
        <f>IF(TRIM(J20&amp;"")="","",IFERROR(IF(AND(VALUE(J20&amp;"")&gt;=0,VALUE(J20&amp;"")&lt;=39.99),"Level 1","")&amp;IF(AND(VALUE(J20&amp;"")&gt;=40,VALUE(J20&amp;"")&lt;=59.99),"Level 2","")&amp;IF(AND(VALUE(J20&amp;"")&gt;=60,VALUE(J20&amp;"")&lt;=79.99),"Level 3","")&amp;IF(AND(VALUE(J20&amp;"")&gt;=80,VALUE(J20&amp;"")&lt;=100),"Level 4",""),""))</f>
        <v/>
      </c>
      <c r="L20" s="11"/>
      <c r="M20" s="13" t="str">
        <f>IF(TRIM(L20&amp;"")="","",IFERROR(IF(AND(VALUE(L20&amp;"")&gt;=0,VALUE(L20&amp;"")&lt;=39.99),"Level 1","")&amp;IF(AND(VALUE(L20&amp;"")&gt;=40,VALUE(L20&amp;"")&lt;=59.99),"Level 2","")&amp;IF(AND(VALUE(L20&amp;"")&gt;=60,VALUE(L20&amp;"")&lt;=79.99),"Level 3","")&amp;IF(AND(VALUE(L20&amp;"")&gt;=80,VALUE(L20&amp;"")&lt;=100),"Level 4",""),""))</f>
        <v/>
      </c>
      <c r="N20" s="11"/>
      <c r="O20" s="13" t="str">
        <f>IF(TRIM(N20&amp;"")="","",IFERROR(IF(AND(VALUE(N20&amp;"")&gt;=0,VALUE(N20&amp;"")&lt;=39.99),"Level 1","")&amp;IF(AND(VALUE(N20&amp;"")&gt;=40,VALUE(N20&amp;"")&lt;=59.99),"Level 2","")&amp;IF(AND(VALUE(N20&amp;"")&gt;=60,VALUE(N20&amp;"")&lt;=79.99),"Level 3","")&amp;IF(AND(VALUE(N20&amp;"")&gt;=80,VALUE(N20&amp;"")&lt;=100),"Level 4",""),""))</f>
        <v/>
      </c>
      <c r="P20" s="11"/>
      <c r="Q20" s="13" t="str">
        <f>IF(TRIM(P20&amp;"")="","",IFERROR(IF(AND(VALUE(P20&amp;"")&gt;=0,VALUE(P20&amp;"")&lt;=39.99),"Level 1","")&amp;IF(AND(VALUE(P20&amp;"")&gt;=40,VALUE(P20&amp;"")&lt;=59.99),"Level 2","")&amp;IF(AND(VALUE(P20&amp;"")&gt;=60,VALUE(P20&amp;"")&lt;=79.99),"Level 3","")&amp;IF(AND(VALUE(P20&amp;"")&gt;=80,VALUE(P20&amp;"")&lt;=100),"Level 4",""),""))</f>
        <v/>
      </c>
      <c r="R20" s="13" t="str">
        <f>IF(((TRIM(H20&amp;"")&lt;&gt;"")+(TRIM(J20&amp;"")&lt;&gt;"")+(TRIM(L20&amp;"")&lt;&gt;"")+(TRIM(N20&amp;"")&lt;&gt;"")+(TRIM(P20&amp;"")&lt;&gt;""))=0,"",IF(AND(((IFERROR(VALUE(H20&amp;""),0)+IFERROR(VALUE(J20&amp;""),0)+IFERROR(VALUE(L20&amp;""),0)+IFERROR(VALUE(N20&amp;""),0)+IFERROR(VALUE(P20&amp;""),0))/500*100)&gt;=80,((IFERROR(VALUE(H20&amp;""),0)+IFERROR(VALUE(J20&amp;""),0)+IFERROR(VALUE(L20&amp;""),0)+IFERROR(VALUE(N20&amp;""),0)+IFERROR(VALUE(P20&amp;""),0))/500*100)&lt;=100),"EXCELLENT","")&amp;IF(AND(((IFERROR(VALUE(H20&amp;""),0)+IFERROR(VALUE(J20&amp;""),0)+IFERROR(VALUE(L20&amp;""),0)+IFERROR(VALUE(N20&amp;""),0)+IFERROR(VALUE(P20&amp;""),0))/500*100)&gt;=60,((IFERROR(VALUE(H20&amp;""),0)+IFERROR(VALUE(J20&amp;""),0)+IFERROR(VALUE(L20&amp;""),0)+IFERROR(VALUE(N20&amp;""),0)+IFERROR(VALUE(P20&amp;""),0))/500*100)&lt;=79.99),"GOOD","")&amp;IF(AND(((IFERROR(VALUE(H20&amp;""),0)+IFERROR(VALUE(J20&amp;""),0)+IFERROR(VALUE(L20&amp;""),0)+IFERROR(VALUE(N20&amp;""),0)+IFERROR(VALUE(P20&amp;""),0))/500*100)&gt;=40,((IFERROR(VALUE(H20&amp;""),0)+IFERROR(VALUE(J20&amp;""),0)+IFERROR(VALUE(L20&amp;""),0)+IFERROR(VALUE(N20&amp;""),0)+IFERROR(VALUE(P20&amp;""),0))/500*100)&lt;=59.99),"AVERAGE","")&amp;IF(AND(((IFERROR(VALUE(H20&amp;""),0)+IFERROR(VALUE(J20&amp;""),0)+IFERROR(VALUE(L20&amp;""),0)+IFERROR(VALUE(N20&amp;""),0)+IFERROR(VALUE(P20&amp;""),0))/500*100)&gt;=0,((IFERROR(VALUE(H20&amp;""),0)+IFERROR(VALUE(J20&amp;""),0)+IFERROR(VALUE(L20&amp;""),0)+IFERROR(VALUE(N20&amp;""),0)+IFERROR(VALUE(P20&amp;""),0))/500*100)&lt;=39.99),"NEEDS SUPPORT",""))</f>
        <v/>
      </c>
      <c r="S20" s="11"/>
      <c r="T20" s="13" t="str">
        <f>IF(TRIM(S20&amp;"")="","",IFERROR(IF(AND(VALUE(S20&amp;"")&gt;=0,VALUE(S20&amp;"")&lt;=39.99),"Level 1","")&amp;IF(AND(VALUE(S20&amp;"")&gt;=40,VALUE(S20&amp;"")&lt;=59.99),"Level 2","")&amp;IF(AND(VALUE(S20&amp;"")&gt;=60,VALUE(S20&amp;"")&lt;=79.99),"Level 3","")&amp;IF(AND(VALUE(S20&amp;"")&gt;=80,VALUE(S20&amp;"")&lt;=100),"Level 4",""),""))</f>
        <v/>
      </c>
      <c r="U20" s="11"/>
      <c r="V20" s="13" t="str">
        <f>IF(TRIM(U20&amp;"")="","",IFERROR(IF(AND(VALUE(U20&amp;"")&gt;=0,VALUE(U20&amp;"")&lt;=39.99),"Level 1","")&amp;IF(AND(VALUE(U20&amp;"")&gt;=40,VALUE(U20&amp;"")&lt;=59.99),"Level 2","")&amp;IF(AND(VALUE(U20&amp;"")&gt;=60,VALUE(U20&amp;"")&lt;=79.99),"Level 3","")&amp;IF(AND(VALUE(U20&amp;"")&gt;=80,VALUE(U20&amp;"")&lt;=100),"Level 4",""),""))</f>
        <v/>
      </c>
      <c r="W20" s="11"/>
      <c r="X20" s="13" t="str">
        <f>IF(TRIM(W20&amp;"")="","",IFERROR(IF(AND(VALUE(W20&amp;"")&gt;=0,VALUE(W20&amp;"")&lt;=39.99),"Level 1","")&amp;IF(AND(VALUE(W20&amp;"")&gt;=40,VALUE(W20&amp;"")&lt;=59.99),"Level 2","")&amp;IF(AND(VALUE(W20&amp;"")&gt;=60,VALUE(W20&amp;"")&lt;=79.99),"Level 3","")&amp;IF(AND(VALUE(W20&amp;"")&gt;=80,VALUE(W20&amp;"")&lt;=100),"Level 4",""),""))</f>
        <v/>
      </c>
      <c r="Y20" s="11"/>
      <c r="Z20" s="13" t="str">
        <f>IF(TRIM(Y20&amp;"")="","",IFERROR(IF(AND(VALUE(Y20&amp;"")&gt;=0,VALUE(Y20&amp;"")&lt;=39.99),"Level 1","")&amp;IF(AND(VALUE(Y20&amp;"")&gt;=40,VALUE(Y20&amp;"")&lt;=59.99),"Level 2","")&amp;IF(AND(VALUE(Y20&amp;"")&gt;=60,VALUE(Y20&amp;"")&lt;=79.99),"Level 3","")&amp;IF(AND(VALUE(Y20&amp;"")&gt;=80,VALUE(Y20&amp;"")&lt;=100),"Level 4",""),""))</f>
        <v/>
      </c>
      <c r="AA20" s="11"/>
      <c r="AB20" s="13" t="str">
        <f>IF(TRIM(AA20&amp;"")="","",IFERROR(IF(AND(VALUE(AA20&amp;"")&gt;=0,VALUE(AA20&amp;"")&lt;=39.99),"Level 1","")&amp;IF(AND(VALUE(AA20&amp;"")&gt;=40,VALUE(AA20&amp;"")&lt;=59.99),"Level 2","")&amp;IF(AND(VALUE(AA20&amp;"")&gt;=60,VALUE(AA20&amp;"")&lt;=79.99),"Level 3","")&amp;IF(AND(VALUE(AA20&amp;"")&gt;=80,VALUE(AA20&amp;"")&lt;=100),"Level 4",""),""))</f>
        <v/>
      </c>
      <c r="AC20" s="13" t="str">
        <f>IF(((TRIM(S20&amp;"")&lt;&gt;"")+(TRIM(U20&amp;"")&lt;&gt;"")+(TRIM(W20&amp;"")&lt;&gt;"")+(TRIM(Y20&amp;"")&lt;&gt;"")+(TRIM(AA20&amp;"")&lt;&gt;""))=0,"",IF(AND(((IFERROR(VALUE(S20&amp;""),0)+IFERROR(VALUE(U20&amp;""),0)+IFERROR(VALUE(W20&amp;""),0)+IFERROR(VALUE(Y20&amp;""),0)+IFERROR(VALUE(AA20&amp;""),0))/500*100)&gt;=80,((IFERROR(VALUE(S20&amp;""),0)+IFERROR(VALUE(U20&amp;""),0)+IFERROR(VALUE(W20&amp;""),0)+IFERROR(VALUE(Y20&amp;""),0)+IFERROR(VALUE(AA20&amp;""),0))/500*100)&lt;=100),"EXCELLENT","")&amp;IF(AND(((IFERROR(VALUE(S20&amp;""),0)+IFERROR(VALUE(U20&amp;""),0)+IFERROR(VALUE(W20&amp;""),0)+IFERROR(VALUE(Y20&amp;""),0)+IFERROR(VALUE(AA20&amp;""),0))/500*100)&gt;=60,((IFERROR(VALUE(S20&amp;""),0)+IFERROR(VALUE(U20&amp;""),0)+IFERROR(VALUE(W20&amp;""),0)+IFERROR(VALUE(Y20&amp;""),0)+IFERROR(VALUE(AA20&amp;""),0))/500*100)&lt;=79.99),"GOOD","")&amp;IF(AND(((IFERROR(VALUE(S20&amp;""),0)+IFERROR(VALUE(U20&amp;""),0)+IFERROR(VALUE(W20&amp;""),0)+IFERROR(VALUE(Y20&amp;""),0)+IFERROR(VALUE(AA20&amp;""),0))/500*100)&gt;=40,((IFERROR(VALUE(S20&amp;""),0)+IFERROR(VALUE(U20&amp;""),0)+IFERROR(VALUE(W20&amp;""),0)+IFERROR(VALUE(Y20&amp;""),0)+IFERROR(VALUE(AA20&amp;""),0))/500*100)&lt;=59.99),"AVERAGE","")&amp;IF(AND(((IFERROR(VALUE(S20&amp;""),0)+IFERROR(VALUE(U20&amp;""),0)+IFERROR(VALUE(W20&amp;""),0)+IFERROR(VALUE(Y20&amp;""),0)+IFERROR(VALUE(AA20&amp;""),0))/500*100)&gt;=0,((IFERROR(VALUE(S20&amp;""),0)+IFERROR(VALUE(U20&amp;""),0)+IFERROR(VALUE(W20&amp;""),0)+IFERROR(VALUE(Y20&amp;""),0)+IFERROR(VALUE(AA20&amp;""),0))/500*100)&lt;=39.99),"NEEDS SUPPORT",""))</f>
        <v/>
      </c>
      <c r="AD20" s="11"/>
      <c r="AE20" s="13" t="str">
        <f>IF(TRIM(AD20&amp;"")="","",IFERROR(IF(AND(VALUE(AD20&amp;"")&gt;=0,VALUE(AD20&amp;"")&lt;=39.99),"Level 1","")&amp;IF(AND(VALUE(AD20&amp;"")&gt;=40,VALUE(AD20&amp;"")&lt;=59.99),"Level 2","")&amp;IF(AND(VALUE(AD20&amp;"")&gt;=60,VALUE(AD20&amp;"")&lt;=79.99),"Level 3","")&amp;IF(AND(VALUE(AD20&amp;"")&gt;=80,VALUE(AD20&amp;"")&lt;=100),"Level 4",""),""))</f>
        <v/>
      </c>
      <c r="AF20" s="11"/>
      <c r="AG20" s="13" t="str">
        <f>IF(TRIM(AF20&amp;"")="","",IFERROR(IF(AND(VALUE(AF20&amp;"")&gt;=0,VALUE(AF20&amp;"")&lt;=39.99),"Level 1","")&amp;IF(AND(VALUE(AF20&amp;"")&gt;=40,VALUE(AF20&amp;"")&lt;=59.99),"Level 2","")&amp;IF(AND(VALUE(AF20&amp;"")&gt;=60,VALUE(AF20&amp;"")&lt;=79.99),"Level 3","")&amp;IF(AND(VALUE(AF20&amp;"")&gt;=80,VALUE(AF20&amp;"")&lt;=100),"Level 4",""),""))</f>
        <v/>
      </c>
      <c r="AH20" s="11"/>
      <c r="AI20" s="13" t="str">
        <f>IF(TRIM(AH20&amp;"")="","",IFERROR(IF(AND(VALUE(AH20&amp;"")&gt;=0,VALUE(AH20&amp;"")&lt;=39.99),"Level 1","")&amp;IF(AND(VALUE(AH20&amp;"")&gt;=40,VALUE(AH20&amp;"")&lt;=59.99),"Level 2","")&amp;IF(AND(VALUE(AH20&amp;"")&gt;=60,VALUE(AH20&amp;"")&lt;=79.99),"Level 3","")&amp;IF(AND(VALUE(AH20&amp;"")&gt;=80,VALUE(AH20&amp;"")&lt;=100),"Level 4",""),""))</f>
        <v/>
      </c>
      <c r="AJ20" s="11"/>
      <c r="AK20" s="13" t="str">
        <f>IF(TRIM(AJ20&amp;"")="","",IFERROR(IF(AND(VALUE(AJ20&amp;"")&gt;=0,VALUE(AJ20&amp;"")&lt;=39.99),"Level 1","")&amp;IF(AND(VALUE(AJ20&amp;"")&gt;=40,VALUE(AJ20&amp;"")&lt;=59.99),"Level 2","")&amp;IF(AND(VALUE(AJ20&amp;"")&gt;=60,VALUE(AJ20&amp;"")&lt;=79.99),"Level 3","")&amp;IF(AND(VALUE(AJ20&amp;"")&gt;=80,VALUE(AJ20&amp;"")&lt;=100),"Level 4",""),""))</f>
        <v/>
      </c>
      <c r="AL20" s="11"/>
      <c r="AM20" s="13" t="str">
        <f>IF(TRIM(AL20&amp;"")="","",IFERROR(IF(AND(VALUE(AL20&amp;"")&gt;=0,VALUE(AL20&amp;"")&lt;=39.99),"Level 1","")&amp;IF(AND(VALUE(AL20&amp;"")&gt;=40,VALUE(AL20&amp;"")&lt;=59.99),"Level 2","")&amp;IF(AND(VALUE(AL20&amp;"")&gt;=60,VALUE(AL20&amp;"")&lt;=79.99),"Level 3","")&amp;IF(AND(VALUE(AL20&amp;"")&gt;=80,VALUE(AL20&amp;"")&lt;=100),"Level 4",""),""))</f>
        <v/>
      </c>
      <c r="AN20" s="13" t="str">
        <f>IF(((TRIM(AD20&amp;"")&lt;&gt;"")+(TRIM(AF20&amp;"")&lt;&gt;"")+(TRIM(AH20&amp;"")&lt;&gt;"")+(TRIM(AJ20&amp;"")&lt;&gt;"")+(TRIM(AL20&amp;"")&lt;&gt;""))=0,"",IF(AND(((IFERROR(VALUE(AD20&amp;""),0)+IFERROR(VALUE(AF20&amp;""),0)+IFERROR(VALUE(AH20&amp;""),0)+IFERROR(VALUE(AJ20&amp;""),0)+IFERROR(VALUE(AL20&amp;""),0))/500*100)&gt;=80,((IFERROR(VALUE(AD20&amp;""),0)+IFERROR(VALUE(AF20&amp;""),0)+IFERROR(VALUE(AH20&amp;""),0)+IFERROR(VALUE(AJ20&amp;""),0)+IFERROR(VALUE(AL20&amp;""),0))/500*100)&lt;=100),"EXCELLENT","")&amp;IF(AND(((IFERROR(VALUE(AD20&amp;""),0)+IFERROR(VALUE(AF20&amp;""),0)+IFERROR(VALUE(AH20&amp;""),0)+IFERROR(VALUE(AJ20&amp;""),0)+IFERROR(VALUE(AL20&amp;""),0))/500*100)&gt;=60,((IFERROR(VALUE(AD20&amp;""),0)+IFERROR(VALUE(AF20&amp;""),0)+IFERROR(VALUE(AH20&amp;""),0)+IFERROR(VALUE(AJ20&amp;""),0)+IFERROR(VALUE(AL20&amp;""),0))/500*100)&lt;=79.99),"GOOD","")&amp;IF(AND(((IFERROR(VALUE(AD20&amp;""),0)+IFERROR(VALUE(AF20&amp;""),0)+IFERROR(VALUE(AH20&amp;""),0)+IFERROR(VALUE(AJ20&amp;""),0)+IFERROR(VALUE(AL20&amp;""),0))/500*100)&gt;=40,((IFERROR(VALUE(AD20&amp;""),0)+IFERROR(VALUE(AF20&amp;""),0)+IFERROR(VALUE(AH20&amp;""),0)+IFERROR(VALUE(AJ20&amp;""),0)+IFERROR(VALUE(AL20&amp;""),0))/500*100)&lt;=59.99),"AVERAGE","")&amp;IF(AND(((IFERROR(VALUE(AD20&amp;""),0)+IFERROR(VALUE(AF20&amp;""),0)+IFERROR(VALUE(AH20&amp;""),0)+IFERROR(VALUE(AJ20&amp;""),0)+IFERROR(VALUE(AL20&amp;""),0))/500*100)&gt;=0,((IFERROR(VALUE(AD20&amp;""),0)+IFERROR(VALUE(AF20&amp;""),0)+IFERROR(VALUE(AH20&amp;""),0)+IFERROR(VALUE(AJ20&amp;""),0)+IFERROR(VALUE(AL20&amp;""),0))/500*100)&lt;=39.99),"NEEDS SUPPORT",""))</f>
        <v/>
      </c>
      <c r="AO20" s="10" t="s">
        <v>186</v>
      </c>
      <c r="AP20" s="10" t="s">
        <v>187</v>
      </c>
      <c r="AQ20" s="10" t="s">
        <v>95</v>
      </c>
    </row>
    <row r="21" spans="1:43" x14ac:dyDescent="0.25">
      <c r="A21" s="10" t="s">
        <v>188</v>
      </c>
      <c r="B21" s="10" t="s">
        <v>3</v>
      </c>
      <c r="C21" s="10" t="s">
        <v>7</v>
      </c>
      <c r="D21" s="10" t="s">
        <v>189</v>
      </c>
      <c r="E21" s="10" t="s">
        <v>190</v>
      </c>
      <c r="F21" s="10" t="s">
        <v>191</v>
      </c>
      <c r="G21" s="10" t="s">
        <v>8</v>
      </c>
      <c r="H21" s="11"/>
      <c r="I21" s="13" t="str">
        <f>IF(TRIM(H21&amp;"")="","",IFERROR(IF(AND(VALUE(H21&amp;"")&gt;=0,VALUE(H21&amp;"")&lt;=39.99),"Level 1","")&amp;IF(AND(VALUE(H21&amp;"")&gt;=40,VALUE(H21&amp;"")&lt;=59.99),"Level 2","")&amp;IF(AND(VALUE(H21&amp;"")&gt;=60,VALUE(H21&amp;"")&lt;=79.99),"Level 3","")&amp;IF(AND(VALUE(H21&amp;"")&gt;=80,VALUE(H21&amp;"")&lt;=100),"Level 4",""),""))</f>
        <v/>
      </c>
      <c r="J21" s="11"/>
      <c r="K21" s="13" t="str">
        <f>IF(TRIM(J21&amp;"")="","",IFERROR(IF(AND(VALUE(J21&amp;"")&gt;=0,VALUE(J21&amp;"")&lt;=39.99),"Level 1","")&amp;IF(AND(VALUE(J21&amp;"")&gt;=40,VALUE(J21&amp;"")&lt;=59.99),"Level 2","")&amp;IF(AND(VALUE(J21&amp;"")&gt;=60,VALUE(J21&amp;"")&lt;=79.99),"Level 3","")&amp;IF(AND(VALUE(J21&amp;"")&gt;=80,VALUE(J21&amp;"")&lt;=100),"Level 4",""),""))</f>
        <v/>
      </c>
      <c r="L21" s="11"/>
      <c r="M21" s="13" t="str">
        <f>IF(TRIM(L21&amp;"")="","",IFERROR(IF(AND(VALUE(L21&amp;"")&gt;=0,VALUE(L21&amp;"")&lt;=39.99),"Level 1","")&amp;IF(AND(VALUE(L21&amp;"")&gt;=40,VALUE(L21&amp;"")&lt;=59.99),"Level 2","")&amp;IF(AND(VALUE(L21&amp;"")&gt;=60,VALUE(L21&amp;"")&lt;=79.99),"Level 3","")&amp;IF(AND(VALUE(L21&amp;"")&gt;=80,VALUE(L21&amp;"")&lt;=100),"Level 4",""),""))</f>
        <v/>
      </c>
      <c r="N21" s="11"/>
      <c r="O21" s="13" t="str">
        <f>IF(TRIM(N21&amp;"")="","",IFERROR(IF(AND(VALUE(N21&amp;"")&gt;=0,VALUE(N21&amp;"")&lt;=39.99),"Level 1","")&amp;IF(AND(VALUE(N21&amp;"")&gt;=40,VALUE(N21&amp;"")&lt;=59.99),"Level 2","")&amp;IF(AND(VALUE(N21&amp;"")&gt;=60,VALUE(N21&amp;"")&lt;=79.99),"Level 3","")&amp;IF(AND(VALUE(N21&amp;"")&gt;=80,VALUE(N21&amp;"")&lt;=100),"Level 4",""),""))</f>
        <v/>
      </c>
      <c r="P21" s="11"/>
      <c r="Q21" s="13" t="str">
        <f>IF(TRIM(P21&amp;"")="","",IFERROR(IF(AND(VALUE(P21&amp;"")&gt;=0,VALUE(P21&amp;"")&lt;=39.99),"Level 1","")&amp;IF(AND(VALUE(P21&amp;"")&gt;=40,VALUE(P21&amp;"")&lt;=59.99),"Level 2","")&amp;IF(AND(VALUE(P21&amp;"")&gt;=60,VALUE(P21&amp;"")&lt;=79.99),"Level 3","")&amp;IF(AND(VALUE(P21&amp;"")&gt;=80,VALUE(P21&amp;"")&lt;=100),"Level 4",""),""))</f>
        <v/>
      </c>
      <c r="R21" s="13" t="str">
        <f>IF(((TRIM(H21&amp;"")&lt;&gt;"")+(TRIM(J21&amp;"")&lt;&gt;"")+(TRIM(L21&amp;"")&lt;&gt;"")+(TRIM(N21&amp;"")&lt;&gt;"")+(TRIM(P21&amp;"")&lt;&gt;""))=0,"",IF(AND(((IFERROR(VALUE(H21&amp;""),0)+IFERROR(VALUE(J21&amp;""),0)+IFERROR(VALUE(L21&amp;""),0)+IFERROR(VALUE(N21&amp;""),0)+IFERROR(VALUE(P21&amp;""),0))/500*100)&gt;=80,((IFERROR(VALUE(H21&amp;""),0)+IFERROR(VALUE(J21&amp;""),0)+IFERROR(VALUE(L21&amp;""),0)+IFERROR(VALUE(N21&amp;""),0)+IFERROR(VALUE(P21&amp;""),0))/500*100)&lt;=100),"EXCELLENT","")&amp;IF(AND(((IFERROR(VALUE(H21&amp;""),0)+IFERROR(VALUE(J21&amp;""),0)+IFERROR(VALUE(L21&amp;""),0)+IFERROR(VALUE(N21&amp;""),0)+IFERROR(VALUE(P21&amp;""),0))/500*100)&gt;=60,((IFERROR(VALUE(H21&amp;""),0)+IFERROR(VALUE(J21&amp;""),0)+IFERROR(VALUE(L21&amp;""),0)+IFERROR(VALUE(N21&amp;""),0)+IFERROR(VALUE(P21&amp;""),0))/500*100)&lt;=79.99),"GOOD","")&amp;IF(AND(((IFERROR(VALUE(H21&amp;""),0)+IFERROR(VALUE(J21&amp;""),0)+IFERROR(VALUE(L21&amp;""),0)+IFERROR(VALUE(N21&amp;""),0)+IFERROR(VALUE(P21&amp;""),0))/500*100)&gt;=40,((IFERROR(VALUE(H21&amp;""),0)+IFERROR(VALUE(J21&amp;""),0)+IFERROR(VALUE(L21&amp;""),0)+IFERROR(VALUE(N21&amp;""),0)+IFERROR(VALUE(P21&amp;""),0))/500*100)&lt;=59.99),"AVERAGE","")&amp;IF(AND(((IFERROR(VALUE(H21&amp;""),0)+IFERROR(VALUE(J21&amp;""),0)+IFERROR(VALUE(L21&amp;""),0)+IFERROR(VALUE(N21&amp;""),0)+IFERROR(VALUE(P21&amp;""),0))/500*100)&gt;=0,((IFERROR(VALUE(H21&amp;""),0)+IFERROR(VALUE(J21&amp;""),0)+IFERROR(VALUE(L21&amp;""),0)+IFERROR(VALUE(N21&amp;""),0)+IFERROR(VALUE(P21&amp;""),0))/500*100)&lt;=39.99),"NEEDS SUPPORT",""))</f>
        <v/>
      </c>
      <c r="S21" s="11"/>
      <c r="T21" s="13" t="str">
        <f>IF(TRIM(S21&amp;"")="","",IFERROR(IF(AND(VALUE(S21&amp;"")&gt;=0,VALUE(S21&amp;"")&lt;=39.99),"Level 1","")&amp;IF(AND(VALUE(S21&amp;"")&gt;=40,VALUE(S21&amp;"")&lt;=59.99),"Level 2","")&amp;IF(AND(VALUE(S21&amp;"")&gt;=60,VALUE(S21&amp;"")&lt;=79.99),"Level 3","")&amp;IF(AND(VALUE(S21&amp;"")&gt;=80,VALUE(S21&amp;"")&lt;=100),"Level 4",""),""))</f>
        <v/>
      </c>
      <c r="U21" s="11"/>
      <c r="V21" s="13" t="str">
        <f>IF(TRIM(U21&amp;"")="","",IFERROR(IF(AND(VALUE(U21&amp;"")&gt;=0,VALUE(U21&amp;"")&lt;=39.99),"Level 1","")&amp;IF(AND(VALUE(U21&amp;"")&gt;=40,VALUE(U21&amp;"")&lt;=59.99),"Level 2","")&amp;IF(AND(VALUE(U21&amp;"")&gt;=60,VALUE(U21&amp;"")&lt;=79.99),"Level 3","")&amp;IF(AND(VALUE(U21&amp;"")&gt;=80,VALUE(U21&amp;"")&lt;=100),"Level 4",""),""))</f>
        <v/>
      </c>
      <c r="W21" s="11"/>
      <c r="X21" s="13" t="str">
        <f>IF(TRIM(W21&amp;"")="","",IFERROR(IF(AND(VALUE(W21&amp;"")&gt;=0,VALUE(W21&amp;"")&lt;=39.99),"Level 1","")&amp;IF(AND(VALUE(W21&amp;"")&gt;=40,VALUE(W21&amp;"")&lt;=59.99),"Level 2","")&amp;IF(AND(VALUE(W21&amp;"")&gt;=60,VALUE(W21&amp;"")&lt;=79.99),"Level 3","")&amp;IF(AND(VALUE(W21&amp;"")&gt;=80,VALUE(W21&amp;"")&lt;=100),"Level 4",""),""))</f>
        <v/>
      </c>
      <c r="Y21" s="11"/>
      <c r="Z21" s="13" t="str">
        <f>IF(TRIM(Y21&amp;"")="","",IFERROR(IF(AND(VALUE(Y21&amp;"")&gt;=0,VALUE(Y21&amp;"")&lt;=39.99),"Level 1","")&amp;IF(AND(VALUE(Y21&amp;"")&gt;=40,VALUE(Y21&amp;"")&lt;=59.99),"Level 2","")&amp;IF(AND(VALUE(Y21&amp;"")&gt;=60,VALUE(Y21&amp;"")&lt;=79.99),"Level 3","")&amp;IF(AND(VALUE(Y21&amp;"")&gt;=80,VALUE(Y21&amp;"")&lt;=100),"Level 4",""),""))</f>
        <v/>
      </c>
      <c r="AA21" s="11"/>
      <c r="AB21" s="13" t="str">
        <f>IF(TRIM(AA21&amp;"")="","",IFERROR(IF(AND(VALUE(AA21&amp;"")&gt;=0,VALUE(AA21&amp;"")&lt;=39.99),"Level 1","")&amp;IF(AND(VALUE(AA21&amp;"")&gt;=40,VALUE(AA21&amp;"")&lt;=59.99),"Level 2","")&amp;IF(AND(VALUE(AA21&amp;"")&gt;=60,VALUE(AA21&amp;"")&lt;=79.99),"Level 3","")&amp;IF(AND(VALUE(AA21&amp;"")&gt;=80,VALUE(AA21&amp;"")&lt;=100),"Level 4",""),""))</f>
        <v/>
      </c>
      <c r="AC21" s="13" t="str">
        <f>IF(((TRIM(S21&amp;"")&lt;&gt;"")+(TRIM(U21&amp;"")&lt;&gt;"")+(TRIM(W21&amp;"")&lt;&gt;"")+(TRIM(Y21&amp;"")&lt;&gt;"")+(TRIM(AA21&amp;"")&lt;&gt;""))=0,"",IF(AND(((IFERROR(VALUE(S21&amp;""),0)+IFERROR(VALUE(U21&amp;""),0)+IFERROR(VALUE(W21&amp;""),0)+IFERROR(VALUE(Y21&amp;""),0)+IFERROR(VALUE(AA21&amp;""),0))/500*100)&gt;=80,((IFERROR(VALUE(S21&amp;""),0)+IFERROR(VALUE(U21&amp;""),0)+IFERROR(VALUE(W21&amp;""),0)+IFERROR(VALUE(Y21&amp;""),0)+IFERROR(VALUE(AA21&amp;""),0))/500*100)&lt;=100),"EXCELLENT","")&amp;IF(AND(((IFERROR(VALUE(S21&amp;""),0)+IFERROR(VALUE(U21&amp;""),0)+IFERROR(VALUE(W21&amp;""),0)+IFERROR(VALUE(Y21&amp;""),0)+IFERROR(VALUE(AA21&amp;""),0))/500*100)&gt;=60,((IFERROR(VALUE(S21&amp;""),0)+IFERROR(VALUE(U21&amp;""),0)+IFERROR(VALUE(W21&amp;""),0)+IFERROR(VALUE(Y21&amp;""),0)+IFERROR(VALUE(AA21&amp;""),0))/500*100)&lt;=79.99),"GOOD","")&amp;IF(AND(((IFERROR(VALUE(S21&amp;""),0)+IFERROR(VALUE(U21&amp;""),0)+IFERROR(VALUE(W21&amp;""),0)+IFERROR(VALUE(Y21&amp;""),0)+IFERROR(VALUE(AA21&amp;""),0))/500*100)&gt;=40,((IFERROR(VALUE(S21&amp;""),0)+IFERROR(VALUE(U21&amp;""),0)+IFERROR(VALUE(W21&amp;""),0)+IFERROR(VALUE(Y21&amp;""),0)+IFERROR(VALUE(AA21&amp;""),0))/500*100)&lt;=59.99),"AVERAGE","")&amp;IF(AND(((IFERROR(VALUE(S21&amp;""),0)+IFERROR(VALUE(U21&amp;""),0)+IFERROR(VALUE(W21&amp;""),0)+IFERROR(VALUE(Y21&amp;""),0)+IFERROR(VALUE(AA21&amp;""),0))/500*100)&gt;=0,((IFERROR(VALUE(S21&amp;""),0)+IFERROR(VALUE(U21&amp;""),0)+IFERROR(VALUE(W21&amp;""),0)+IFERROR(VALUE(Y21&amp;""),0)+IFERROR(VALUE(AA21&amp;""),0))/500*100)&lt;=39.99),"NEEDS SUPPORT",""))</f>
        <v/>
      </c>
      <c r="AD21" s="11"/>
      <c r="AE21" s="13" t="str">
        <f>IF(TRIM(AD21&amp;"")="","",IFERROR(IF(AND(VALUE(AD21&amp;"")&gt;=0,VALUE(AD21&amp;"")&lt;=39.99),"Level 1","")&amp;IF(AND(VALUE(AD21&amp;"")&gt;=40,VALUE(AD21&amp;"")&lt;=59.99),"Level 2","")&amp;IF(AND(VALUE(AD21&amp;"")&gt;=60,VALUE(AD21&amp;"")&lt;=79.99),"Level 3","")&amp;IF(AND(VALUE(AD21&amp;"")&gt;=80,VALUE(AD21&amp;"")&lt;=100),"Level 4",""),""))</f>
        <v/>
      </c>
      <c r="AF21" s="11"/>
      <c r="AG21" s="13" t="str">
        <f>IF(TRIM(AF21&amp;"")="","",IFERROR(IF(AND(VALUE(AF21&amp;"")&gt;=0,VALUE(AF21&amp;"")&lt;=39.99),"Level 1","")&amp;IF(AND(VALUE(AF21&amp;"")&gt;=40,VALUE(AF21&amp;"")&lt;=59.99),"Level 2","")&amp;IF(AND(VALUE(AF21&amp;"")&gt;=60,VALUE(AF21&amp;"")&lt;=79.99),"Level 3","")&amp;IF(AND(VALUE(AF21&amp;"")&gt;=80,VALUE(AF21&amp;"")&lt;=100),"Level 4",""),""))</f>
        <v/>
      </c>
      <c r="AH21" s="11"/>
      <c r="AI21" s="13" t="str">
        <f>IF(TRIM(AH21&amp;"")="","",IFERROR(IF(AND(VALUE(AH21&amp;"")&gt;=0,VALUE(AH21&amp;"")&lt;=39.99),"Level 1","")&amp;IF(AND(VALUE(AH21&amp;"")&gt;=40,VALUE(AH21&amp;"")&lt;=59.99),"Level 2","")&amp;IF(AND(VALUE(AH21&amp;"")&gt;=60,VALUE(AH21&amp;"")&lt;=79.99),"Level 3","")&amp;IF(AND(VALUE(AH21&amp;"")&gt;=80,VALUE(AH21&amp;"")&lt;=100),"Level 4",""),""))</f>
        <v/>
      </c>
      <c r="AJ21" s="11"/>
      <c r="AK21" s="13" t="str">
        <f>IF(TRIM(AJ21&amp;"")="","",IFERROR(IF(AND(VALUE(AJ21&amp;"")&gt;=0,VALUE(AJ21&amp;"")&lt;=39.99),"Level 1","")&amp;IF(AND(VALUE(AJ21&amp;"")&gt;=40,VALUE(AJ21&amp;"")&lt;=59.99),"Level 2","")&amp;IF(AND(VALUE(AJ21&amp;"")&gt;=60,VALUE(AJ21&amp;"")&lt;=79.99),"Level 3","")&amp;IF(AND(VALUE(AJ21&amp;"")&gt;=80,VALUE(AJ21&amp;"")&lt;=100),"Level 4",""),""))</f>
        <v/>
      </c>
      <c r="AL21" s="11"/>
      <c r="AM21" s="13" t="str">
        <f>IF(TRIM(AL21&amp;"")="","",IFERROR(IF(AND(VALUE(AL21&amp;"")&gt;=0,VALUE(AL21&amp;"")&lt;=39.99),"Level 1","")&amp;IF(AND(VALUE(AL21&amp;"")&gt;=40,VALUE(AL21&amp;"")&lt;=59.99),"Level 2","")&amp;IF(AND(VALUE(AL21&amp;"")&gt;=60,VALUE(AL21&amp;"")&lt;=79.99),"Level 3","")&amp;IF(AND(VALUE(AL21&amp;"")&gt;=80,VALUE(AL21&amp;"")&lt;=100),"Level 4",""),""))</f>
        <v/>
      </c>
      <c r="AN21" s="13" t="str">
        <f>IF(((TRIM(AD21&amp;"")&lt;&gt;"")+(TRIM(AF21&amp;"")&lt;&gt;"")+(TRIM(AH21&amp;"")&lt;&gt;"")+(TRIM(AJ21&amp;"")&lt;&gt;"")+(TRIM(AL21&amp;"")&lt;&gt;""))=0,"",IF(AND(((IFERROR(VALUE(AD21&amp;""),0)+IFERROR(VALUE(AF21&amp;""),0)+IFERROR(VALUE(AH21&amp;""),0)+IFERROR(VALUE(AJ21&amp;""),0)+IFERROR(VALUE(AL21&amp;""),0))/500*100)&gt;=80,((IFERROR(VALUE(AD21&amp;""),0)+IFERROR(VALUE(AF21&amp;""),0)+IFERROR(VALUE(AH21&amp;""),0)+IFERROR(VALUE(AJ21&amp;""),0)+IFERROR(VALUE(AL21&amp;""),0))/500*100)&lt;=100),"EXCELLENT","")&amp;IF(AND(((IFERROR(VALUE(AD21&amp;""),0)+IFERROR(VALUE(AF21&amp;""),0)+IFERROR(VALUE(AH21&amp;""),0)+IFERROR(VALUE(AJ21&amp;""),0)+IFERROR(VALUE(AL21&amp;""),0))/500*100)&gt;=60,((IFERROR(VALUE(AD21&amp;""),0)+IFERROR(VALUE(AF21&amp;""),0)+IFERROR(VALUE(AH21&amp;""),0)+IFERROR(VALUE(AJ21&amp;""),0)+IFERROR(VALUE(AL21&amp;""),0))/500*100)&lt;=79.99),"GOOD","")&amp;IF(AND(((IFERROR(VALUE(AD21&amp;""),0)+IFERROR(VALUE(AF21&amp;""),0)+IFERROR(VALUE(AH21&amp;""),0)+IFERROR(VALUE(AJ21&amp;""),0)+IFERROR(VALUE(AL21&amp;""),0))/500*100)&gt;=40,((IFERROR(VALUE(AD21&amp;""),0)+IFERROR(VALUE(AF21&amp;""),0)+IFERROR(VALUE(AH21&amp;""),0)+IFERROR(VALUE(AJ21&amp;""),0)+IFERROR(VALUE(AL21&amp;""),0))/500*100)&lt;=59.99),"AVERAGE","")&amp;IF(AND(((IFERROR(VALUE(AD21&amp;""),0)+IFERROR(VALUE(AF21&amp;""),0)+IFERROR(VALUE(AH21&amp;""),0)+IFERROR(VALUE(AJ21&amp;""),0)+IFERROR(VALUE(AL21&amp;""),0))/500*100)&gt;=0,((IFERROR(VALUE(AD21&amp;""),0)+IFERROR(VALUE(AF21&amp;""),0)+IFERROR(VALUE(AH21&amp;""),0)+IFERROR(VALUE(AJ21&amp;""),0)+IFERROR(VALUE(AL21&amp;""),0))/500*100)&lt;=39.99),"NEEDS SUPPORT",""))</f>
        <v/>
      </c>
      <c r="AO21" s="10" t="s">
        <v>192</v>
      </c>
      <c r="AP21" s="10" t="s">
        <v>193</v>
      </c>
      <c r="AQ21" s="10" t="s">
        <v>95</v>
      </c>
    </row>
    <row r="22" spans="1:43" x14ac:dyDescent="0.25">
      <c r="A22" s="10" t="s">
        <v>194</v>
      </c>
      <c r="B22" s="10" t="s">
        <v>3</v>
      </c>
      <c r="C22" s="10" t="s">
        <v>7</v>
      </c>
      <c r="D22" s="10" t="s">
        <v>195</v>
      </c>
      <c r="E22" s="10" t="s">
        <v>104</v>
      </c>
      <c r="F22" s="10" t="s">
        <v>92</v>
      </c>
      <c r="G22" s="10" t="s">
        <v>8</v>
      </c>
      <c r="H22" s="11"/>
      <c r="I22" s="13" t="str">
        <f>IF(TRIM(H22&amp;"")="","",IFERROR(IF(AND(VALUE(H22&amp;"")&gt;=0,VALUE(H22&amp;"")&lt;=39.99),"Level 1","")&amp;IF(AND(VALUE(H22&amp;"")&gt;=40,VALUE(H22&amp;"")&lt;=59.99),"Level 2","")&amp;IF(AND(VALUE(H22&amp;"")&gt;=60,VALUE(H22&amp;"")&lt;=79.99),"Level 3","")&amp;IF(AND(VALUE(H22&amp;"")&gt;=80,VALUE(H22&amp;"")&lt;=100),"Level 4",""),""))</f>
        <v/>
      </c>
      <c r="J22" s="11"/>
      <c r="K22" s="13" t="str">
        <f>IF(TRIM(J22&amp;"")="","",IFERROR(IF(AND(VALUE(J22&amp;"")&gt;=0,VALUE(J22&amp;"")&lt;=39.99),"Level 1","")&amp;IF(AND(VALUE(J22&amp;"")&gt;=40,VALUE(J22&amp;"")&lt;=59.99),"Level 2","")&amp;IF(AND(VALUE(J22&amp;"")&gt;=60,VALUE(J22&amp;"")&lt;=79.99),"Level 3","")&amp;IF(AND(VALUE(J22&amp;"")&gt;=80,VALUE(J22&amp;"")&lt;=100),"Level 4",""),""))</f>
        <v/>
      </c>
      <c r="L22" s="11"/>
      <c r="M22" s="13" t="str">
        <f>IF(TRIM(L22&amp;"")="","",IFERROR(IF(AND(VALUE(L22&amp;"")&gt;=0,VALUE(L22&amp;"")&lt;=39.99),"Level 1","")&amp;IF(AND(VALUE(L22&amp;"")&gt;=40,VALUE(L22&amp;"")&lt;=59.99),"Level 2","")&amp;IF(AND(VALUE(L22&amp;"")&gt;=60,VALUE(L22&amp;"")&lt;=79.99),"Level 3","")&amp;IF(AND(VALUE(L22&amp;"")&gt;=80,VALUE(L22&amp;"")&lt;=100),"Level 4",""),""))</f>
        <v/>
      </c>
      <c r="N22" s="11"/>
      <c r="O22" s="13" t="str">
        <f>IF(TRIM(N22&amp;"")="","",IFERROR(IF(AND(VALUE(N22&amp;"")&gt;=0,VALUE(N22&amp;"")&lt;=39.99),"Level 1","")&amp;IF(AND(VALUE(N22&amp;"")&gt;=40,VALUE(N22&amp;"")&lt;=59.99),"Level 2","")&amp;IF(AND(VALUE(N22&amp;"")&gt;=60,VALUE(N22&amp;"")&lt;=79.99),"Level 3","")&amp;IF(AND(VALUE(N22&amp;"")&gt;=80,VALUE(N22&amp;"")&lt;=100),"Level 4",""),""))</f>
        <v/>
      </c>
      <c r="P22" s="11"/>
      <c r="Q22" s="13" t="str">
        <f>IF(TRIM(P22&amp;"")="","",IFERROR(IF(AND(VALUE(P22&amp;"")&gt;=0,VALUE(P22&amp;"")&lt;=39.99),"Level 1","")&amp;IF(AND(VALUE(P22&amp;"")&gt;=40,VALUE(P22&amp;"")&lt;=59.99),"Level 2","")&amp;IF(AND(VALUE(P22&amp;"")&gt;=60,VALUE(P22&amp;"")&lt;=79.99),"Level 3","")&amp;IF(AND(VALUE(P22&amp;"")&gt;=80,VALUE(P22&amp;"")&lt;=100),"Level 4",""),""))</f>
        <v/>
      </c>
      <c r="R22" s="13" t="str">
        <f>IF(((TRIM(H22&amp;"")&lt;&gt;"")+(TRIM(J22&amp;"")&lt;&gt;"")+(TRIM(L22&amp;"")&lt;&gt;"")+(TRIM(N22&amp;"")&lt;&gt;"")+(TRIM(P22&amp;"")&lt;&gt;""))=0,"",IF(AND(((IFERROR(VALUE(H22&amp;""),0)+IFERROR(VALUE(J22&amp;""),0)+IFERROR(VALUE(L22&amp;""),0)+IFERROR(VALUE(N22&amp;""),0)+IFERROR(VALUE(P22&amp;""),0))/500*100)&gt;=80,((IFERROR(VALUE(H22&amp;""),0)+IFERROR(VALUE(J22&amp;""),0)+IFERROR(VALUE(L22&amp;""),0)+IFERROR(VALUE(N22&amp;""),0)+IFERROR(VALUE(P22&amp;""),0))/500*100)&lt;=100),"EXCELLENT","")&amp;IF(AND(((IFERROR(VALUE(H22&amp;""),0)+IFERROR(VALUE(J22&amp;""),0)+IFERROR(VALUE(L22&amp;""),0)+IFERROR(VALUE(N22&amp;""),0)+IFERROR(VALUE(P22&amp;""),0))/500*100)&gt;=60,((IFERROR(VALUE(H22&amp;""),0)+IFERROR(VALUE(J22&amp;""),0)+IFERROR(VALUE(L22&amp;""),0)+IFERROR(VALUE(N22&amp;""),0)+IFERROR(VALUE(P22&amp;""),0))/500*100)&lt;=79.99),"GOOD","")&amp;IF(AND(((IFERROR(VALUE(H22&amp;""),0)+IFERROR(VALUE(J22&amp;""),0)+IFERROR(VALUE(L22&amp;""),0)+IFERROR(VALUE(N22&amp;""),0)+IFERROR(VALUE(P22&amp;""),0))/500*100)&gt;=40,((IFERROR(VALUE(H22&amp;""),0)+IFERROR(VALUE(J22&amp;""),0)+IFERROR(VALUE(L22&amp;""),0)+IFERROR(VALUE(N22&amp;""),0)+IFERROR(VALUE(P22&amp;""),0))/500*100)&lt;=59.99),"AVERAGE","")&amp;IF(AND(((IFERROR(VALUE(H22&amp;""),0)+IFERROR(VALUE(J22&amp;""),0)+IFERROR(VALUE(L22&amp;""),0)+IFERROR(VALUE(N22&amp;""),0)+IFERROR(VALUE(P22&amp;""),0))/500*100)&gt;=0,((IFERROR(VALUE(H22&amp;""),0)+IFERROR(VALUE(J22&amp;""),0)+IFERROR(VALUE(L22&amp;""),0)+IFERROR(VALUE(N22&amp;""),0)+IFERROR(VALUE(P22&amp;""),0))/500*100)&lt;=39.99),"NEEDS SUPPORT",""))</f>
        <v/>
      </c>
      <c r="S22" s="11"/>
      <c r="T22" s="13" t="str">
        <f>IF(TRIM(S22&amp;"")="","",IFERROR(IF(AND(VALUE(S22&amp;"")&gt;=0,VALUE(S22&amp;"")&lt;=39.99),"Level 1","")&amp;IF(AND(VALUE(S22&amp;"")&gt;=40,VALUE(S22&amp;"")&lt;=59.99),"Level 2","")&amp;IF(AND(VALUE(S22&amp;"")&gt;=60,VALUE(S22&amp;"")&lt;=79.99),"Level 3","")&amp;IF(AND(VALUE(S22&amp;"")&gt;=80,VALUE(S22&amp;"")&lt;=100),"Level 4",""),""))</f>
        <v/>
      </c>
      <c r="U22" s="11"/>
      <c r="V22" s="13" t="str">
        <f>IF(TRIM(U22&amp;"")="","",IFERROR(IF(AND(VALUE(U22&amp;"")&gt;=0,VALUE(U22&amp;"")&lt;=39.99),"Level 1","")&amp;IF(AND(VALUE(U22&amp;"")&gt;=40,VALUE(U22&amp;"")&lt;=59.99),"Level 2","")&amp;IF(AND(VALUE(U22&amp;"")&gt;=60,VALUE(U22&amp;"")&lt;=79.99),"Level 3","")&amp;IF(AND(VALUE(U22&amp;"")&gt;=80,VALUE(U22&amp;"")&lt;=100),"Level 4",""),""))</f>
        <v/>
      </c>
      <c r="W22" s="11"/>
      <c r="X22" s="13" t="str">
        <f>IF(TRIM(W22&amp;"")="","",IFERROR(IF(AND(VALUE(W22&amp;"")&gt;=0,VALUE(W22&amp;"")&lt;=39.99),"Level 1","")&amp;IF(AND(VALUE(W22&amp;"")&gt;=40,VALUE(W22&amp;"")&lt;=59.99),"Level 2","")&amp;IF(AND(VALUE(W22&amp;"")&gt;=60,VALUE(W22&amp;"")&lt;=79.99),"Level 3","")&amp;IF(AND(VALUE(W22&amp;"")&gt;=80,VALUE(W22&amp;"")&lt;=100),"Level 4",""),""))</f>
        <v/>
      </c>
      <c r="Y22" s="11"/>
      <c r="Z22" s="13" t="str">
        <f>IF(TRIM(Y22&amp;"")="","",IFERROR(IF(AND(VALUE(Y22&amp;"")&gt;=0,VALUE(Y22&amp;"")&lt;=39.99),"Level 1","")&amp;IF(AND(VALUE(Y22&amp;"")&gt;=40,VALUE(Y22&amp;"")&lt;=59.99),"Level 2","")&amp;IF(AND(VALUE(Y22&amp;"")&gt;=60,VALUE(Y22&amp;"")&lt;=79.99),"Level 3","")&amp;IF(AND(VALUE(Y22&amp;"")&gt;=80,VALUE(Y22&amp;"")&lt;=100),"Level 4",""),""))</f>
        <v/>
      </c>
      <c r="AA22" s="11"/>
      <c r="AB22" s="13" t="str">
        <f>IF(TRIM(AA22&amp;"")="","",IFERROR(IF(AND(VALUE(AA22&amp;"")&gt;=0,VALUE(AA22&amp;"")&lt;=39.99),"Level 1","")&amp;IF(AND(VALUE(AA22&amp;"")&gt;=40,VALUE(AA22&amp;"")&lt;=59.99),"Level 2","")&amp;IF(AND(VALUE(AA22&amp;"")&gt;=60,VALUE(AA22&amp;"")&lt;=79.99),"Level 3","")&amp;IF(AND(VALUE(AA22&amp;"")&gt;=80,VALUE(AA22&amp;"")&lt;=100),"Level 4",""),""))</f>
        <v/>
      </c>
      <c r="AC22" s="13" t="str">
        <f>IF(((TRIM(S22&amp;"")&lt;&gt;"")+(TRIM(U22&amp;"")&lt;&gt;"")+(TRIM(W22&amp;"")&lt;&gt;"")+(TRIM(Y22&amp;"")&lt;&gt;"")+(TRIM(AA22&amp;"")&lt;&gt;""))=0,"",IF(AND(((IFERROR(VALUE(S22&amp;""),0)+IFERROR(VALUE(U22&amp;""),0)+IFERROR(VALUE(W22&amp;""),0)+IFERROR(VALUE(Y22&amp;""),0)+IFERROR(VALUE(AA22&amp;""),0))/500*100)&gt;=80,((IFERROR(VALUE(S22&amp;""),0)+IFERROR(VALUE(U22&amp;""),0)+IFERROR(VALUE(W22&amp;""),0)+IFERROR(VALUE(Y22&amp;""),0)+IFERROR(VALUE(AA22&amp;""),0))/500*100)&lt;=100),"EXCELLENT","")&amp;IF(AND(((IFERROR(VALUE(S22&amp;""),0)+IFERROR(VALUE(U22&amp;""),0)+IFERROR(VALUE(W22&amp;""),0)+IFERROR(VALUE(Y22&amp;""),0)+IFERROR(VALUE(AA22&amp;""),0))/500*100)&gt;=60,((IFERROR(VALUE(S22&amp;""),0)+IFERROR(VALUE(U22&amp;""),0)+IFERROR(VALUE(W22&amp;""),0)+IFERROR(VALUE(Y22&amp;""),0)+IFERROR(VALUE(AA22&amp;""),0))/500*100)&lt;=79.99),"GOOD","")&amp;IF(AND(((IFERROR(VALUE(S22&amp;""),0)+IFERROR(VALUE(U22&amp;""),0)+IFERROR(VALUE(W22&amp;""),0)+IFERROR(VALUE(Y22&amp;""),0)+IFERROR(VALUE(AA22&amp;""),0))/500*100)&gt;=40,((IFERROR(VALUE(S22&amp;""),0)+IFERROR(VALUE(U22&amp;""),0)+IFERROR(VALUE(W22&amp;""),0)+IFERROR(VALUE(Y22&amp;""),0)+IFERROR(VALUE(AA22&amp;""),0))/500*100)&lt;=59.99),"AVERAGE","")&amp;IF(AND(((IFERROR(VALUE(S22&amp;""),0)+IFERROR(VALUE(U22&amp;""),0)+IFERROR(VALUE(W22&amp;""),0)+IFERROR(VALUE(Y22&amp;""),0)+IFERROR(VALUE(AA22&amp;""),0))/500*100)&gt;=0,((IFERROR(VALUE(S22&amp;""),0)+IFERROR(VALUE(U22&amp;""),0)+IFERROR(VALUE(W22&amp;""),0)+IFERROR(VALUE(Y22&amp;""),0)+IFERROR(VALUE(AA22&amp;""),0))/500*100)&lt;=39.99),"NEEDS SUPPORT",""))</f>
        <v/>
      </c>
      <c r="AD22" s="11"/>
      <c r="AE22" s="13" t="str">
        <f>IF(TRIM(AD22&amp;"")="","",IFERROR(IF(AND(VALUE(AD22&amp;"")&gt;=0,VALUE(AD22&amp;"")&lt;=39.99),"Level 1","")&amp;IF(AND(VALUE(AD22&amp;"")&gt;=40,VALUE(AD22&amp;"")&lt;=59.99),"Level 2","")&amp;IF(AND(VALUE(AD22&amp;"")&gt;=60,VALUE(AD22&amp;"")&lt;=79.99),"Level 3","")&amp;IF(AND(VALUE(AD22&amp;"")&gt;=80,VALUE(AD22&amp;"")&lt;=100),"Level 4",""),""))</f>
        <v/>
      </c>
      <c r="AF22" s="11"/>
      <c r="AG22" s="13" t="str">
        <f>IF(TRIM(AF22&amp;"")="","",IFERROR(IF(AND(VALUE(AF22&amp;"")&gt;=0,VALUE(AF22&amp;"")&lt;=39.99),"Level 1","")&amp;IF(AND(VALUE(AF22&amp;"")&gt;=40,VALUE(AF22&amp;"")&lt;=59.99),"Level 2","")&amp;IF(AND(VALUE(AF22&amp;"")&gt;=60,VALUE(AF22&amp;"")&lt;=79.99),"Level 3","")&amp;IF(AND(VALUE(AF22&amp;"")&gt;=80,VALUE(AF22&amp;"")&lt;=100),"Level 4",""),""))</f>
        <v/>
      </c>
      <c r="AH22" s="11"/>
      <c r="AI22" s="13" t="str">
        <f>IF(TRIM(AH22&amp;"")="","",IFERROR(IF(AND(VALUE(AH22&amp;"")&gt;=0,VALUE(AH22&amp;"")&lt;=39.99),"Level 1","")&amp;IF(AND(VALUE(AH22&amp;"")&gt;=40,VALUE(AH22&amp;"")&lt;=59.99),"Level 2","")&amp;IF(AND(VALUE(AH22&amp;"")&gt;=60,VALUE(AH22&amp;"")&lt;=79.99),"Level 3","")&amp;IF(AND(VALUE(AH22&amp;"")&gt;=80,VALUE(AH22&amp;"")&lt;=100),"Level 4",""),""))</f>
        <v/>
      </c>
      <c r="AJ22" s="11"/>
      <c r="AK22" s="13" t="str">
        <f>IF(TRIM(AJ22&amp;"")="","",IFERROR(IF(AND(VALUE(AJ22&amp;"")&gt;=0,VALUE(AJ22&amp;"")&lt;=39.99),"Level 1","")&amp;IF(AND(VALUE(AJ22&amp;"")&gt;=40,VALUE(AJ22&amp;"")&lt;=59.99),"Level 2","")&amp;IF(AND(VALUE(AJ22&amp;"")&gt;=60,VALUE(AJ22&amp;"")&lt;=79.99),"Level 3","")&amp;IF(AND(VALUE(AJ22&amp;"")&gt;=80,VALUE(AJ22&amp;"")&lt;=100),"Level 4",""),""))</f>
        <v/>
      </c>
      <c r="AL22" s="11"/>
      <c r="AM22" s="13" t="str">
        <f>IF(TRIM(AL22&amp;"")="","",IFERROR(IF(AND(VALUE(AL22&amp;"")&gt;=0,VALUE(AL22&amp;"")&lt;=39.99),"Level 1","")&amp;IF(AND(VALUE(AL22&amp;"")&gt;=40,VALUE(AL22&amp;"")&lt;=59.99),"Level 2","")&amp;IF(AND(VALUE(AL22&amp;"")&gt;=60,VALUE(AL22&amp;"")&lt;=79.99),"Level 3","")&amp;IF(AND(VALUE(AL22&amp;"")&gt;=80,VALUE(AL22&amp;"")&lt;=100),"Level 4",""),""))</f>
        <v/>
      </c>
      <c r="AN22" s="13" t="str">
        <f>IF(((TRIM(AD22&amp;"")&lt;&gt;"")+(TRIM(AF22&amp;"")&lt;&gt;"")+(TRIM(AH22&amp;"")&lt;&gt;"")+(TRIM(AJ22&amp;"")&lt;&gt;"")+(TRIM(AL22&amp;"")&lt;&gt;""))=0,"",IF(AND(((IFERROR(VALUE(AD22&amp;""),0)+IFERROR(VALUE(AF22&amp;""),0)+IFERROR(VALUE(AH22&amp;""),0)+IFERROR(VALUE(AJ22&amp;""),0)+IFERROR(VALUE(AL22&amp;""),0))/500*100)&gt;=80,((IFERROR(VALUE(AD22&amp;""),0)+IFERROR(VALUE(AF22&amp;""),0)+IFERROR(VALUE(AH22&amp;""),0)+IFERROR(VALUE(AJ22&amp;""),0)+IFERROR(VALUE(AL22&amp;""),0))/500*100)&lt;=100),"EXCELLENT","")&amp;IF(AND(((IFERROR(VALUE(AD22&amp;""),0)+IFERROR(VALUE(AF22&amp;""),0)+IFERROR(VALUE(AH22&amp;""),0)+IFERROR(VALUE(AJ22&amp;""),0)+IFERROR(VALUE(AL22&amp;""),0))/500*100)&gt;=60,((IFERROR(VALUE(AD22&amp;""),0)+IFERROR(VALUE(AF22&amp;""),0)+IFERROR(VALUE(AH22&amp;""),0)+IFERROR(VALUE(AJ22&amp;""),0)+IFERROR(VALUE(AL22&amp;""),0))/500*100)&lt;=79.99),"GOOD","")&amp;IF(AND(((IFERROR(VALUE(AD22&amp;""),0)+IFERROR(VALUE(AF22&amp;""),0)+IFERROR(VALUE(AH22&amp;""),0)+IFERROR(VALUE(AJ22&amp;""),0)+IFERROR(VALUE(AL22&amp;""),0))/500*100)&gt;=40,((IFERROR(VALUE(AD22&amp;""),0)+IFERROR(VALUE(AF22&amp;""),0)+IFERROR(VALUE(AH22&amp;""),0)+IFERROR(VALUE(AJ22&amp;""),0)+IFERROR(VALUE(AL22&amp;""),0))/500*100)&lt;=59.99),"AVERAGE","")&amp;IF(AND(((IFERROR(VALUE(AD22&amp;""),0)+IFERROR(VALUE(AF22&amp;""),0)+IFERROR(VALUE(AH22&amp;""),0)+IFERROR(VALUE(AJ22&amp;""),0)+IFERROR(VALUE(AL22&amp;""),0))/500*100)&gt;=0,((IFERROR(VALUE(AD22&amp;""),0)+IFERROR(VALUE(AF22&amp;""),0)+IFERROR(VALUE(AH22&amp;""),0)+IFERROR(VALUE(AJ22&amp;""),0)+IFERROR(VALUE(AL22&amp;""),0))/500*100)&lt;=39.99),"NEEDS SUPPORT",""))</f>
        <v/>
      </c>
      <c r="AO22" s="10" t="s">
        <v>196</v>
      </c>
      <c r="AP22" s="10" t="s">
        <v>197</v>
      </c>
      <c r="AQ22" s="10" t="s">
        <v>95</v>
      </c>
    </row>
    <row r="23" spans="1:43" x14ac:dyDescent="0.25">
      <c r="A23" s="10" t="s">
        <v>198</v>
      </c>
      <c r="B23" s="10" t="s">
        <v>3</v>
      </c>
      <c r="C23" s="10" t="s">
        <v>7</v>
      </c>
      <c r="D23" s="10" t="s">
        <v>199</v>
      </c>
      <c r="E23" s="10" t="s">
        <v>200</v>
      </c>
      <c r="F23" s="10" t="s">
        <v>145</v>
      </c>
      <c r="G23" s="10" t="s">
        <v>5</v>
      </c>
      <c r="H23" s="11"/>
      <c r="I23" s="13" t="str">
        <f>IF(TRIM(H23&amp;"")="","",IFERROR(IF(AND(VALUE(H23&amp;"")&gt;=0,VALUE(H23&amp;"")&lt;=39.99),"Level 1","")&amp;IF(AND(VALUE(H23&amp;"")&gt;=40,VALUE(H23&amp;"")&lt;=59.99),"Level 2","")&amp;IF(AND(VALUE(H23&amp;"")&gt;=60,VALUE(H23&amp;"")&lt;=79.99),"Level 3","")&amp;IF(AND(VALUE(H23&amp;"")&gt;=80,VALUE(H23&amp;"")&lt;=100),"Level 4",""),""))</f>
        <v/>
      </c>
      <c r="J23" s="11"/>
      <c r="K23" s="13" t="str">
        <f>IF(TRIM(J23&amp;"")="","",IFERROR(IF(AND(VALUE(J23&amp;"")&gt;=0,VALUE(J23&amp;"")&lt;=39.99),"Level 1","")&amp;IF(AND(VALUE(J23&amp;"")&gt;=40,VALUE(J23&amp;"")&lt;=59.99),"Level 2","")&amp;IF(AND(VALUE(J23&amp;"")&gt;=60,VALUE(J23&amp;"")&lt;=79.99),"Level 3","")&amp;IF(AND(VALUE(J23&amp;"")&gt;=80,VALUE(J23&amp;"")&lt;=100),"Level 4",""),""))</f>
        <v/>
      </c>
      <c r="L23" s="11"/>
      <c r="M23" s="13" t="str">
        <f>IF(TRIM(L23&amp;"")="","",IFERROR(IF(AND(VALUE(L23&amp;"")&gt;=0,VALUE(L23&amp;"")&lt;=39.99),"Level 1","")&amp;IF(AND(VALUE(L23&amp;"")&gt;=40,VALUE(L23&amp;"")&lt;=59.99),"Level 2","")&amp;IF(AND(VALUE(L23&amp;"")&gt;=60,VALUE(L23&amp;"")&lt;=79.99),"Level 3","")&amp;IF(AND(VALUE(L23&amp;"")&gt;=80,VALUE(L23&amp;"")&lt;=100),"Level 4",""),""))</f>
        <v/>
      </c>
      <c r="N23" s="11"/>
      <c r="O23" s="13" t="str">
        <f>IF(TRIM(N23&amp;"")="","",IFERROR(IF(AND(VALUE(N23&amp;"")&gt;=0,VALUE(N23&amp;"")&lt;=39.99),"Level 1","")&amp;IF(AND(VALUE(N23&amp;"")&gt;=40,VALUE(N23&amp;"")&lt;=59.99),"Level 2","")&amp;IF(AND(VALUE(N23&amp;"")&gt;=60,VALUE(N23&amp;"")&lt;=79.99),"Level 3","")&amp;IF(AND(VALUE(N23&amp;"")&gt;=80,VALUE(N23&amp;"")&lt;=100),"Level 4",""),""))</f>
        <v/>
      </c>
      <c r="P23" s="11"/>
      <c r="Q23" s="13" t="str">
        <f>IF(TRIM(P23&amp;"")="","",IFERROR(IF(AND(VALUE(P23&amp;"")&gt;=0,VALUE(P23&amp;"")&lt;=39.99),"Level 1","")&amp;IF(AND(VALUE(P23&amp;"")&gt;=40,VALUE(P23&amp;"")&lt;=59.99),"Level 2","")&amp;IF(AND(VALUE(P23&amp;"")&gt;=60,VALUE(P23&amp;"")&lt;=79.99),"Level 3","")&amp;IF(AND(VALUE(P23&amp;"")&gt;=80,VALUE(P23&amp;"")&lt;=100),"Level 4",""),""))</f>
        <v/>
      </c>
      <c r="R23" s="13" t="str">
        <f>IF(((TRIM(H23&amp;"")&lt;&gt;"")+(TRIM(J23&amp;"")&lt;&gt;"")+(TRIM(L23&amp;"")&lt;&gt;"")+(TRIM(N23&amp;"")&lt;&gt;"")+(TRIM(P23&amp;"")&lt;&gt;""))=0,"",IF(AND(((IFERROR(VALUE(H23&amp;""),0)+IFERROR(VALUE(J23&amp;""),0)+IFERROR(VALUE(L23&amp;""),0)+IFERROR(VALUE(N23&amp;""),0)+IFERROR(VALUE(P23&amp;""),0))/500*100)&gt;=80,((IFERROR(VALUE(H23&amp;""),0)+IFERROR(VALUE(J23&amp;""),0)+IFERROR(VALUE(L23&amp;""),0)+IFERROR(VALUE(N23&amp;""),0)+IFERROR(VALUE(P23&amp;""),0))/500*100)&lt;=100),"EXCELLENT","")&amp;IF(AND(((IFERROR(VALUE(H23&amp;""),0)+IFERROR(VALUE(J23&amp;""),0)+IFERROR(VALUE(L23&amp;""),0)+IFERROR(VALUE(N23&amp;""),0)+IFERROR(VALUE(P23&amp;""),0))/500*100)&gt;=60,((IFERROR(VALUE(H23&amp;""),0)+IFERROR(VALUE(J23&amp;""),0)+IFERROR(VALUE(L23&amp;""),0)+IFERROR(VALUE(N23&amp;""),0)+IFERROR(VALUE(P23&amp;""),0))/500*100)&lt;=79.99),"GOOD","")&amp;IF(AND(((IFERROR(VALUE(H23&amp;""),0)+IFERROR(VALUE(J23&amp;""),0)+IFERROR(VALUE(L23&amp;""),0)+IFERROR(VALUE(N23&amp;""),0)+IFERROR(VALUE(P23&amp;""),0))/500*100)&gt;=40,((IFERROR(VALUE(H23&amp;""),0)+IFERROR(VALUE(J23&amp;""),0)+IFERROR(VALUE(L23&amp;""),0)+IFERROR(VALUE(N23&amp;""),0)+IFERROR(VALUE(P23&amp;""),0))/500*100)&lt;=59.99),"AVERAGE","")&amp;IF(AND(((IFERROR(VALUE(H23&amp;""),0)+IFERROR(VALUE(J23&amp;""),0)+IFERROR(VALUE(L23&amp;""),0)+IFERROR(VALUE(N23&amp;""),0)+IFERROR(VALUE(P23&amp;""),0))/500*100)&gt;=0,((IFERROR(VALUE(H23&amp;""),0)+IFERROR(VALUE(J23&amp;""),0)+IFERROR(VALUE(L23&amp;""),0)+IFERROR(VALUE(N23&amp;""),0)+IFERROR(VALUE(P23&amp;""),0))/500*100)&lt;=39.99),"NEEDS SUPPORT",""))</f>
        <v/>
      </c>
      <c r="S23" s="11"/>
      <c r="T23" s="13" t="str">
        <f>IF(TRIM(S23&amp;"")="","",IFERROR(IF(AND(VALUE(S23&amp;"")&gt;=0,VALUE(S23&amp;"")&lt;=39.99),"Level 1","")&amp;IF(AND(VALUE(S23&amp;"")&gt;=40,VALUE(S23&amp;"")&lt;=59.99),"Level 2","")&amp;IF(AND(VALUE(S23&amp;"")&gt;=60,VALUE(S23&amp;"")&lt;=79.99),"Level 3","")&amp;IF(AND(VALUE(S23&amp;"")&gt;=80,VALUE(S23&amp;"")&lt;=100),"Level 4",""),""))</f>
        <v/>
      </c>
      <c r="U23" s="11"/>
      <c r="V23" s="13" t="str">
        <f>IF(TRIM(U23&amp;"")="","",IFERROR(IF(AND(VALUE(U23&amp;"")&gt;=0,VALUE(U23&amp;"")&lt;=39.99),"Level 1","")&amp;IF(AND(VALUE(U23&amp;"")&gt;=40,VALUE(U23&amp;"")&lt;=59.99),"Level 2","")&amp;IF(AND(VALUE(U23&amp;"")&gt;=60,VALUE(U23&amp;"")&lt;=79.99),"Level 3","")&amp;IF(AND(VALUE(U23&amp;"")&gt;=80,VALUE(U23&amp;"")&lt;=100),"Level 4",""),""))</f>
        <v/>
      </c>
      <c r="W23" s="11"/>
      <c r="X23" s="13" t="str">
        <f>IF(TRIM(W23&amp;"")="","",IFERROR(IF(AND(VALUE(W23&amp;"")&gt;=0,VALUE(W23&amp;"")&lt;=39.99),"Level 1","")&amp;IF(AND(VALUE(W23&amp;"")&gt;=40,VALUE(W23&amp;"")&lt;=59.99),"Level 2","")&amp;IF(AND(VALUE(W23&amp;"")&gt;=60,VALUE(W23&amp;"")&lt;=79.99),"Level 3","")&amp;IF(AND(VALUE(W23&amp;"")&gt;=80,VALUE(W23&amp;"")&lt;=100),"Level 4",""),""))</f>
        <v/>
      </c>
      <c r="Y23" s="11"/>
      <c r="Z23" s="13" t="str">
        <f>IF(TRIM(Y23&amp;"")="","",IFERROR(IF(AND(VALUE(Y23&amp;"")&gt;=0,VALUE(Y23&amp;"")&lt;=39.99),"Level 1","")&amp;IF(AND(VALUE(Y23&amp;"")&gt;=40,VALUE(Y23&amp;"")&lt;=59.99),"Level 2","")&amp;IF(AND(VALUE(Y23&amp;"")&gt;=60,VALUE(Y23&amp;"")&lt;=79.99),"Level 3","")&amp;IF(AND(VALUE(Y23&amp;"")&gt;=80,VALUE(Y23&amp;"")&lt;=100),"Level 4",""),""))</f>
        <v/>
      </c>
      <c r="AA23" s="11"/>
      <c r="AB23" s="13" t="str">
        <f>IF(TRIM(AA23&amp;"")="","",IFERROR(IF(AND(VALUE(AA23&amp;"")&gt;=0,VALUE(AA23&amp;"")&lt;=39.99),"Level 1","")&amp;IF(AND(VALUE(AA23&amp;"")&gt;=40,VALUE(AA23&amp;"")&lt;=59.99),"Level 2","")&amp;IF(AND(VALUE(AA23&amp;"")&gt;=60,VALUE(AA23&amp;"")&lt;=79.99),"Level 3","")&amp;IF(AND(VALUE(AA23&amp;"")&gt;=80,VALUE(AA23&amp;"")&lt;=100),"Level 4",""),""))</f>
        <v/>
      </c>
      <c r="AC23" s="13" t="str">
        <f>IF(((TRIM(S23&amp;"")&lt;&gt;"")+(TRIM(U23&amp;"")&lt;&gt;"")+(TRIM(W23&amp;"")&lt;&gt;"")+(TRIM(Y23&amp;"")&lt;&gt;"")+(TRIM(AA23&amp;"")&lt;&gt;""))=0,"",IF(AND(((IFERROR(VALUE(S23&amp;""),0)+IFERROR(VALUE(U23&amp;""),0)+IFERROR(VALUE(W23&amp;""),0)+IFERROR(VALUE(Y23&amp;""),0)+IFERROR(VALUE(AA23&amp;""),0))/500*100)&gt;=80,((IFERROR(VALUE(S23&amp;""),0)+IFERROR(VALUE(U23&amp;""),0)+IFERROR(VALUE(W23&amp;""),0)+IFERROR(VALUE(Y23&amp;""),0)+IFERROR(VALUE(AA23&amp;""),0))/500*100)&lt;=100),"EXCELLENT","")&amp;IF(AND(((IFERROR(VALUE(S23&amp;""),0)+IFERROR(VALUE(U23&amp;""),0)+IFERROR(VALUE(W23&amp;""),0)+IFERROR(VALUE(Y23&amp;""),0)+IFERROR(VALUE(AA23&amp;""),0))/500*100)&gt;=60,((IFERROR(VALUE(S23&amp;""),0)+IFERROR(VALUE(U23&amp;""),0)+IFERROR(VALUE(W23&amp;""),0)+IFERROR(VALUE(Y23&amp;""),0)+IFERROR(VALUE(AA23&amp;""),0))/500*100)&lt;=79.99),"GOOD","")&amp;IF(AND(((IFERROR(VALUE(S23&amp;""),0)+IFERROR(VALUE(U23&amp;""),0)+IFERROR(VALUE(W23&amp;""),0)+IFERROR(VALUE(Y23&amp;""),0)+IFERROR(VALUE(AA23&amp;""),0))/500*100)&gt;=40,((IFERROR(VALUE(S23&amp;""),0)+IFERROR(VALUE(U23&amp;""),0)+IFERROR(VALUE(W23&amp;""),0)+IFERROR(VALUE(Y23&amp;""),0)+IFERROR(VALUE(AA23&amp;""),0))/500*100)&lt;=59.99),"AVERAGE","")&amp;IF(AND(((IFERROR(VALUE(S23&amp;""),0)+IFERROR(VALUE(U23&amp;""),0)+IFERROR(VALUE(W23&amp;""),0)+IFERROR(VALUE(Y23&amp;""),0)+IFERROR(VALUE(AA23&amp;""),0))/500*100)&gt;=0,((IFERROR(VALUE(S23&amp;""),0)+IFERROR(VALUE(U23&amp;""),0)+IFERROR(VALUE(W23&amp;""),0)+IFERROR(VALUE(Y23&amp;""),0)+IFERROR(VALUE(AA23&amp;""),0))/500*100)&lt;=39.99),"NEEDS SUPPORT",""))</f>
        <v/>
      </c>
      <c r="AD23" s="11"/>
      <c r="AE23" s="13" t="str">
        <f>IF(TRIM(AD23&amp;"")="","",IFERROR(IF(AND(VALUE(AD23&amp;"")&gt;=0,VALUE(AD23&amp;"")&lt;=39.99),"Level 1","")&amp;IF(AND(VALUE(AD23&amp;"")&gt;=40,VALUE(AD23&amp;"")&lt;=59.99),"Level 2","")&amp;IF(AND(VALUE(AD23&amp;"")&gt;=60,VALUE(AD23&amp;"")&lt;=79.99),"Level 3","")&amp;IF(AND(VALUE(AD23&amp;"")&gt;=80,VALUE(AD23&amp;"")&lt;=100),"Level 4",""),""))</f>
        <v/>
      </c>
      <c r="AF23" s="11"/>
      <c r="AG23" s="13" t="str">
        <f>IF(TRIM(AF23&amp;"")="","",IFERROR(IF(AND(VALUE(AF23&amp;"")&gt;=0,VALUE(AF23&amp;"")&lt;=39.99),"Level 1","")&amp;IF(AND(VALUE(AF23&amp;"")&gt;=40,VALUE(AF23&amp;"")&lt;=59.99),"Level 2","")&amp;IF(AND(VALUE(AF23&amp;"")&gt;=60,VALUE(AF23&amp;"")&lt;=79.99),"Level 3","")&amp;IF(AND(VALUE(AF23&amp;"")&gt;=80,VALUE(AF23&amp;"")&lt;=100),"Level 4",""),""))</f>
        <v/>
      </c>
      <c r="AH23" s="11"/>
      <c r="AI23" s="13" t="str">
        <f>IF(TRIM(AH23&amp;"")="","",IFERROR(IF(AND(VALUE(AH23&amp;"")&gt;=0,VALUE(AH23&amp;"")&lt;=39.99),"Level 1","")&amp;IF(AND(VALUE(AH23&amp;"")&gt;=40,VALUE(AH23&amp;"")&lt;=59.99),"Level 2","")&amp;IF(AND(VALUE(AH23&amp;"")&gt;=60,VALUE(AH23&amp;"")&lt;=79.99),"Level 3","")&amp;IF(AND(VALUE(AH23&amp;"")&gt;=80,VALUE(AH23&amp;"")&lt;=100),"Level 4",""),""))</f>
        <v/>
      </c>
      <c r="AJ23" s="11"/>
      <c r="AK23" s="13" t="str">
        <f>IF(TRIM(AJ23&amp;"")="","",IFERROR(IF(AND(VALUE(AJ23&amp;"")&gt;=0,VALUE(AJ23&amp;"")&lt;=39.99),"Level 1","")&amp;IF(AND(VALUE(AJ23&amp;"")&gt;=40,VALUE(AJ23&amp;"")&lt;=59.99),"Level 2","")&amp;IF(AND(VALUE(AJ23&amp;"")&gt;=60,VALUE(AJ23&amp;"")&lt;=79.99),"Level 3","")&amp;IF(AND(VALUE(AJ23&amp;"")&gt;=80,VALUE(AJ23&amp;"")&lt;=100),"Level 4",""),""))</f>
        <v/>
      </c>
      <c r="AL23" s="11"/>
      <c r="AM23" s="13" t="str">
        <f>IF(TRIM(AL23&amp;"")="","",IFERROR(IF(AND(VALUE(AL23&amp;"")&gt;=0,VALUE(AL23&amp;"")&lt;=39.99),"Level 1","")&amp;IF(AND(VALUE(AL23&amp;"")&gt;=40,VALUE(AL23&amp;"")&lt;=59.99),"Level 2","")&amp;IF(AND(VALUE(AL23&amp;"")&gt;=60,VALUE(AL23&amp;"")&lt;=79.99),"Level 3","")&amp;IF(AND(VALUE(AL23&amp;"")&gt;=80,VALUE(AL23&amp;"")&lt;=100),"Level 4",""),""))</f>
        <v/>
      </c>
      <c r="AN23" s="13" t="str">
        <f>IF(((TRIM(AD23&amp;"")&lt;&gt;"")+(TRIM(AF23&amp;"")&lt;&gt;"")+(TRIM(AH23&amp;"")&lt;&gt;"")+(TRIM(AJ23&amp;"")&lt;&gt;"")+(TRIM(AL23&amp;"")&lt;&gt;""))=0,"",IF(AND(((IFERROR(VALUE(AD23&amp;""),0)+IFERROR(VALUE(AF23&amp;""),0)+IFERROR(VALUE(AH23&amp;""),0)+IFERROR(VALUE(AJ23&amp;""),0)+IFERROR(VALUE(AL23&amp;""),0))/500*100)&gt;=80,((IFERROR(VALUE(AD23&amp;""),0)+IFERROR(VALUE(AF23&amp;""),0)+IFERROR(VALUE(AH23&amp;""),0)+IFERROR(VALUE(AJ23&amp;""),0)+IFERROR(VALUE(AL23&amp;""),0))/500*100)&lt;=100),"EXCELLENT","")&amp;IF(AND(((IFERROR(VALUE(AD23&amp;""),0)+IFERROR(VALUE(AF23&amp;""),0)+IFERROR(VALUE(AH23&amp;""),0)+IFERROR(VALUE(AJ23&amp;""),0)+IFERROR(VALUE(AL23&amp;""),0))/500*100)&gt;=60,((IFERROR(VALUE(AD23&amp;""),0)+IFERROR(VALUE(AF23&amp;""),0)+IFERROR(VALUE(AH23&amp;""),0)+IFERROR(VALUE(AJ23&amp;""),0)+IFERROR(VALUE(AL23&amp;""),0))/500*100)&lt;=79.99),"GOOD","")&amp;IF(AND(((IFERROR(VALUE(AD23&amp;""),0)+IFERROR(VALUE(AF23&amp;""),0)+IFERROR(VALUE(AH23&amp;""),0)+IFERROR(VALUE(AJ23&amp;""),0)+IFERROR(VALUE(AL23&amp;""),0))/500*100)&gt;=40,((IFERROR(VALUE(AD23&amp;""),0)+IFERROR(VALUE(AF23&amp;""),0)+IFERROR(VALUE(AH23&amp;""),0)+IFERROR(VALUE(AJ23&amp;""),0)+IFERROR(VALUE(AL23&amp;""),0))/500*100)&lt;=59.99),"AVERAGE","")&amp;IF(AND(((IFERROR(VALUE(AD23&amp;""),0)+IFERROR(VALUE(AF23&amp;""),0)+IFERROR(VALUE(AH23&amp;""),0)+IFERROR(VALUE(AJ23&amp;""),0)+IFERROR(VALUE(AL23&amp;""),0))/500*100)&gt;=0,((IFERROR(VALUE(AD23&amp;""),0)+IFERROR(VALUE(AF23&amp;""),0)+IFERROR(VALUE(AH23&amp;""),0)+IFERROR(VALUE(AJ23&amp;""),0)+IFERROR(VALUE(AL23&amp;""),0))/500*100)&lt;=39.99),"NEEDS SUPPORT",""))</f>
        <v/>
      </c>
      <c r="AO23" s="10" t="s">
        <v>201</v>
      </c>
      <c r="AP23" s="10" t="s">
        <v>202</v>
      </c>
      <c r="AQ23" s="10" t="s">
        <v>95</v>
      </c>
    </row>
    <row r="24" spans="1:43" x14ac:dyDescent="0.25">
      <c r="A24" s="10" t="s">
        <v>203</v>
      </c>
      <c r="B24" s="10" t="s">
        <v>3</v>
      </c>
      <c r="C24" s="10" t="s">
        <v>7</v>
      </c>
      <c r="D24" s="10" t="s">
        <v>204</v>
      </c>
      <c r="E24" s="10" t="s">
        <v>205</v>
      </c>
      <c r="F24" s="10" t="s">
        <v>206</v>
      </c>
      <c r="G24" s="10" t="s">
        <v>5</v>
      </c>
      <c r="H24" s="11"/>
      <c r="I24" s="13" t="str">
        <f>IF(TRIM(H24&amp;"")="","",IFERROR(IF(AND(VALUE(H24&amp;"")&gt;=0,VALUE(H24&amp;"")&lt;=39.99),"Level 1","")&amp;IF(AND(VALUE(H24&amp;"")&gt;=40,VALUE(H24&amp;"")&lt;=59.99),"Level 2","")&amp;IF(AND(VALUE(H24&amp;"")&gt;=60,VALUE(H24&amp;"")&lt;=79.99),"Level 3","")&amp;IF(AND(VALUE(H24&amp;"")&gt;=80,VALUE(H24&amp;"")&lt;=100),"Level 4",""),""))</f>
        <v/>
      </c>
      <c r="J24" s="11"/>
      <c r="K24" s="13" t="str">
        <f>IF(TRIM(J24&amp;"")="","",IFERROR(IF(AND(VALUE(J24&amp;"")&gt;=0,VALUE(J24&amp;"")&lt;=39.99),"Level 1","")&amp;IF(AND(VALUE(J24&amp;"")&gt;=40,VALUE(J24&amp;"")&lt;=59.99),"Level 2","")&amp;IF(AND(VALUE(J24&amp;"")&gt;=60,VALUE(J24&amp;"")&lt;=79.99),"Level 3","")&amp;IF(AND(VALUE(J24&amp;"")&gt;=80,VALUE(J24&amp;"")&lt;=100),"Level 4",""),""))</f>
        <v/>
      </c>
      <c r="L24" s="11"/>
      <c r="M24" s="13" t="str">
        <f>IF(TRIM(L24&amp;"")="","",IFERROR(IF(AND(VALUE(L24&amp;"")&gt;=0,VALUE(L24&amp;"")&lt;=39.99),"Level 1","")&amp;IF(AND(VALUE(L24&amp;"")&gt;=40,VALUE(L24&amp;"")&lt;=59.99),"Level 2","")&amp;IF(AND(VALUE(L24&amp;"")&gt;=60,VALUE(L24&amp;"")&lt;=79.99),"Level 3","")&amp;IF(AND(VALUE(L24&amp;"")&gt;=80,VALUE(L24&amp;"")&lt;=100),"Level 4",""),""))</f>
        <v/>
      </c>
      <c r="N24" s="11"/>
      <c r="O24" s="13" t="str">
        <f>IF(TRIM(N24&amp;"")="","",IFERROR(IF(AND(VALUE(N24&amp;"")&gt;=0,VALUE(N24&amp;"")&lt;=39.99),"Level 1","")&amp;IF(AND(VALUE(N24&amp;"")&gt;=40,VALUE(N24&amp;"")&lt;=59.99),"Level 2","")&amp;IF(AND(VALUE(N24&amp;"")&gt;=60,VALUE(N24&amp;"")&lt;=79.99),"Level 3","")&amp;IF(AND(VALUE(N24&amp;"")&gt;=80,VALUE(N24&amp;"")&lt;=100),"Level 4",""),""))</f>
        <v/>
      </c>
      <c r="P24" s="11"/>
      <c r="Q24" s="13" t="str">
        <f>IF(TRIM(P24&amp;"")="","",IFERROR(IF(AND(VALUE(P24&amp;"")&gt;=0,VALUE(P24&amp;"")&lt;=39.99),"Level 1","")&amp;IF(AND(VALUE(P24&amp;"")&gt;=40,VALUE(P24&amp;"")&lt;=59.99),"Level 2","")&amp;IF(AND(VALUE(P24&amp;"")&gt;=60,VALUE(P24&amp;"")&lt;=79.99),"Level 3","")&amp;IF(AND(VALUE(P24&amp;"")&gt;=80,VALUE(P24&amp;"")&lt;=100),"Level 4",""),""))</f>
        <v/>
      </c>
      <c r="R24" s="13" t="str">
        <f>IF(((TRIM(H24&amp;"")&lt;&gt;"")+(TRIM(J24&amp;"")&lt;&gt;"")+(TRIM(L24&amp;"")&lt;&gt;"")+(TRIM(N24&amp;"")&lt;&gt;"")+(TRIM(P24&amp;"")&lt;&gt;""))=0,"",IF(AND(((IFERROR(VALUE(H24&amp;""),0)+IFERROR(VALUE(J24&amp;""),0)+IFERROR(VALUE(L24&amp;""),0)+IFERROR(VALUE(N24&amp;""),0)+IFERROR(VALUE(P24&amp;""),0))/500*100)&gt;=80,((IFERROR(VALUE(H24&amp;""),0)+IFERROR(VALUE(J24&amp;""),0)+IFERROR(VALUE(L24&amp;""),0)+IFERROR(VALUE(N24&amp;""),0)+IFERROR(VALUE(P24&amp;""),0))/500*100)&lt;=100),"EXCELLENT","")&amp;IF(AND(((IFERROR(VALUE(H24&amp;""),0)+IFERROR(VALUE(J24&amp;""),0)+IFERROR(VALUE(L24&amp;""),0)+IFERROR(VALUE(N24&amp;""),0)+IFERROR(VALUE(P24&amp;""),0))/500*100)&gt;=60,((IFERROR(VALUE(H24&amp;""),0)+IFERROR(VALUE(J24&amp;""),0)+IFERROR(VALUE(L24&amp;""),0)+IFERROR(VALUE(N24&amp;""),0)+IFERROR(VALUE(P24&amp;""),0))/500*100)&lt;=79.99),"GOOD","")&amp;IF(AND(((IFERROR(VALUE(H24&amp;""),0)+IFERROR(VALUE(J24&amp;""),0)+IFERROR(VALUE(L24&amp;""),0)+IFERROR(VALUE(N24&amp;""),0)+IFERROR(VALUE(P24&amp;""),0))/500*100)&gt;=40,((IFERROR(VALUE(H24&amp;""),0)+IFERROR(VALUE(J24&amp;""),0)+IFERROR(VALUE(L24&amp;""),0)+IFERROR(VALUE(N24&amp;""),0)+IFERROR(VALUE(P24&amp;""),0))/500*100)&lt;=59.99),"AVERAGE","")&amp;IF(AND(((IFERROR(VALUE(H24&amp;""),0)+IFERROR(VALUE(J24&amp;""),0)+IFERROR(VALUE(L24&amp;""),0)+IFERROR(VALUE(N24&amp;""),0)+IFERROR(VALUE(P24&amp;""),0))/500*100)&gt;=0,((IFERROR(VALUE(H24&amp;""),0)+IFERROR(VALUE(J24&amp;""),0)+IFERROR(VALUE(L24&amp;""),0)+IFERROR(VALUE(N24&amp;""),0)+IFERROR(VALUE(P24&amp;""),0))/500*100)&lt;=39.99),"NEEDS SUPPORT",""))</f>
        <v/>
      </c>
      <c r="S24" s="11"/>
      <c r="T24" s="13" t="str">
        <f>IF(TRIM(S24&amp;"")="","",IFERROR(IF(AND(VALUE(S24&amp;"")&gt;=0,VALUE(S24&amp;"")&lt;=39.99),"Level 1","")&amp;IF(AND(VALUE(S24&amp;"")&gt;=40,VALUE(S24&amp;"")&lt;=59.99),"Level 2","")&amp;IF(AND(VALUE(S24&amp;"")&gt;=60,VALUE(S24&amp;"")&lt;=79.99),"Level 3","")&amp;IF(AND(VALUE(S24&amp;"")&gt;=80,VALUE(S24&amp;"")&lt;=100),"Level 4",""),""))</f>
        <v/>
      </c>
      <c r="U24" s="11"/>
      <c r="V24" s="13" t="str">
        <f>IF(TRIM(U24&amp;"")="","",IFERROR(IF(AND(VALUE(U24&amp;"")&gt;=0,VALUE(U24&amp;"")&lt;=39.99),"Level 1","")&amp;IF(AND(VALUE(U24&amp;"")&gt;=40,VALUE(U24&amp;"")&lt;=59.99),"Level 2","")&amp;IF(AND(VALUE(U24&amp;"")&gt;=60,VALUE(U24&amp;"")&lt;=79.99),"Level 3","")&amp;IF(AND(VALUE(U24&amp;"")&gt;=80,VALUE(U24&amp;"")&lt;=100),"Level 4",""),""))</f>
        <v/>
      </c>
      <c r="W24" s="11"/>
      <c r="X24" s="13" t="str">
        <f>IF(TRIM(W24&amp;"")="","",IFERROR(IF(AND(VALUE(W24&amp;"")&gt;=0,VALUE(W24&amp;"")&lt;=39.99),"Level 1","")&amp;IF(AND(VALUE(W24&amp;"")&gt;=40,VALUE(W24&amp;"")&lt;=59.99),"Level 2","")&amp;IF(AND(VALUE(W24&amp;"")&gt;=60,VALUE(W24&amp;"")&lt;=79.99),"Level 3","")&amp;IF(AND(VALUE(W24&amp;"")&gt;=80,VALUE(W24&amp;"")&lt;=100),"Level 4",""),""))</f>
        <v/>
      </c>
      <c r="Y24" s="11"/>
      <c r="Z24" s="13" t="str">
        <f>IF(TRIM(Y24&amp;"")="","",IFERROR(IF(AND(VALUE(Y24&amp;"")&gt;=0,VALUE(Y24&amp;"")&lt;=39.99),"Level 1","")&amp;IF(AND(VALUE(Y24&amp;"")&gt;=40,VALUE(Y24&amp;"")&lt;=59.99),"Level 2","")&amp;IF(AND(VALUE(Y24&amp;"")&gt;=60,VALUE(Y24&amp;"")&lt;=79.99),"Level 3","")&amp;IF(AND(VALUE(Y24&amp;"")&gt;=80,VALUE(Y24&amp;"")&lt;=100),"Level 4",""),""))</f>
        <v/>
      </c>
      <c r="AA24" s="11"/>
      <c r="AB24" s="13" t="str">
        <f>IF(TRIM(AA24&amp;"")="","",IFERROR(IF(AND(VALUE(AA24&amp;"")&gt;=0,VALUE(AA24&amp;"")&lt;=39.99),"Level 1","")&amp;IF(AND(VALUE(AA24&amp;"")&gt;=40,VALUE(AA24&amp;"")&lt;=59.99),"Level 2","")&amp;IF(AND(VALUE(AA24&amp;"")&gt;=60,VALUE(AA24&amp;"")&lt;=79.99),"Level 3","")&amp;IF(AND(VALUE(AA24&amp;"")&gt;=80,VALUE(AA24&amp;"")&lt;=100),"Level 4",""),""))</f>
        <v/>
      </c>
      <c r="AC24" s="13" t="str">
        <f>IF(((TRIM(S24&amp;"")&lt;&gt;"")+(TRIM(U24&amp;"")&lt;&gt;"")+(TRIM(W24&amp;"")&lt;&gt;"")+(TRIM(Y24&amp;"")&lt;&gt;"")+(TRIM(AA24&amp;"")&lt;&gt;""))=0,"",IF(AND(((IFERROR(VALUE(S24&amp;""),0)+IFERROR(VALUE(U24&amp;""),0)+IFERROR(VALUE(W24&amp;""),0)+IFERROR(VALUE(Y24&amp;""),0)+IFERROR(VALUE(AA24&amp;""),0))/500*100)&gt;=80,((IFERROR(VALUE(S24&amp;""),0)+IFERROR(VALUE(U24&amp;""),0)+IFERROR(VALUE(W24&amp;""),0)+IFERROR(VALUE(Y24&amp;""),0)+IFERROR(VALUE(AA24&amp;""),0))/500*100)&lt;=100),"EXCELLENT","")&amp;IF(AND(((IFERROR(VALUE(S24&amp;""),0)+IFERROR(VALUE(U24&amp;""),0)+IFERROR(VALUE(W24&amp;""),0)+IFERROR(VALUE(Y24&amp;""),0)+IFERROR(VALUE(AA24&amp;""),0))/500*100)&gt;=60,((IFERROR(VALUE(S24&amp;""),0)+IFERROR(VALUE(U24&amp;""),0)+IFERROR(VALUE(W24&amp;""),0)+IFERROR(VALUE(Y24&amp;""),0)+IFERROR(VALUE(AA24&amp;""),0))/500*100)&lt;=79.99),"GOOD","")&amp;IF(AND(((IFERROR(VALUE(S24&amp;""),0)+IFERROR(VALUE(U24&amp;""),0)+IFERROR(VALUE(W24&amp;""),0)+IFERROR(VALUE(Y24&amp;""),0)+IFERROR(VALUE(AA24&amp;""),0))/500*100)&gt;=40,((IFERROR(VALUE(S24&amp;""),0)+IFERROR(VALUE(U24&amp;""),0)+IFERROR(VALUE(W24&amp;""),0)+IFERROR(VALUE(Y24&amp;""),0)+IFERROR(VALUE(AA24&amp;""),0))/500*100)&lt;=59.99),"AVERAGE","")&amp;IF(AND(((IFERROR(VALUE(S24&amp;""),0)+IFERROR(VALUE(U24&amp;""),0)+IFERROR(VALUE(W24&amp;""),0)+IFERROR(VALUE(Y24&amp;""),0)+IFERROR(VALUE(AA24&amp;""),0))/500*100)&gt;=0,((IFERROR(VALUE(S24&amp;""),0)+IFERROR(VALUE(U24&amp;""),0)+IFERROR(VALUE(W24&amp;""),0)+IFERROR(VALUE(Y24&amp;""),0)+IFERROR(VALUE(AA24&amp;""),0))/500*100)&lt;=39.99),"NEEDS SUPPORT",""))</f>
        <v/>
      </c>
      <c r="AD24" s="11"/>
      <c r="AE24" s="13" t="str">
        <f>IF(TRIM(AD24&amp;"")="","",IFERROR(IF(AND(VALUE(AD24&amp;"")&gt;=0,VALUE(AD24&amp;"")&lt;=39.99),"Level 1","")&amp;IF(AND(VALUE(AD24&amp;"")&gt;=40,VALUE(AD24&amp;"")&lt;=59.99),"Level 2","")&amp;IF(AND(VALUE(AD24&amp;"")&gt;=60,VALUE(AD24&amp;"")&lt;=79.99),"Level 3","")&amp;IF(AND(VALUE(AD24&amp;"")&gt;=80,VALUE(AD24&amp;"")&lt;=100),"Level 4",""),""))</f>
        <v/>
      </c>
      <c r="AF24" s="11"/>
      <c r="AG24" s="13" t="str">
        <f>IF(TRIM(AF24&amp;"")="","",IFERROR(IF(AND(VALUE(AF24&amp;"")&gt;=0,VALUE(AF24&amp;"")&lt;=39.99),"Level 1","")&amp;IF(AND(VALUE(AF24&amp;"")&gt;=40,VALUE(AF24&amp;"")&lt;=59.99),"Level 2","")&amp;IF(AND(VALUE(AF24&amp;"")&gt;=60,VALUE(AF24&amp;"")&lt;=79.99),"Level 3","")&amp;IF(AND(VALUE(AF24&amp;"")&gt;=80,VALUE(AF24&amp;"")&lt;=100),"Level 4",""),""))</f>
        <v/>
      </c>
      <c r="AH24" s="11"/>
      <c r="AI24" s="13" t="str">
        <f>IF(TRIM(AH24&amp;"")="","",IFERROR(IF(AND(VALUE(AH24&amp;"")&gt;=0,VALUE(AH24&amp;"")&lt;=39.99),"Level 1","")&amp;IF(AND(VALUE(AH24&amp;"")&gt;=40,VALUE(AH24&amp;"")&lt;=59.99),"Level 2","")&amp;IF(AND(VALUE(AH24&amp;"")&gt;=60,VALUE(AH24&amp;"")&lt;=79.99),"Level 3","")&amp;IF(AND(VALUE(AH24&amp;"")&gt;=80,VALUE(AH24&amp;"")&lt;=100),"Level 4",""),""))</f>
        <v/>
      </c>
      <c r="AJ24" s="11"/>
      <c r="AK24" s="13" t="str">
        <f>IF(TRIM(AJ24&amp;"")="","",IFERROR(IF(AND(VALUE(AJ24&amp;"")&gt;=0,VALUE(AJ24&amp;"")&lt;=39.99),"Level 1","")&amp;IF(AND(VALUE(AJ24&amp;"")&gt;=40,VALUE(AJ24&amp;"")&lt;=59.99),"Level 2","")&amp;IF(AND(VALUE(AJ24&amp;"")&gt;=60,VALUE(AJ24&amp;"")&lt;=79.99),"Level 3","")&amp;IF(AND(VALUE(AJ24&amp;"")&gt;=80,VALUE(AJ24&amp;"")&lt;=100),"Level 4",""),""))</f>
        <v/>
      </c>
      <c r="AL24" s="11"/>
      <c r="AM24" s="13" t="str">
        <f>IF(TRIM(AL24&amp;"")="","",IFERROR(IF(AND(VALUE(AL24&amp;"")&gt;=0,VALUE(AL24&amp;"")&lt;=39.99),"Level 1","")&amp;IF(AND(VALUE(AL24&amp;"")&gt;=40,VALUE(AL24&amp;"")&lt;=59.99),"Level 2","")&amp;IF(AND(VALUE(AL24&amp;"")&gt;=60,VALUE(AL24&amp;"")&lt;=79.99),"Level 3","")&amp;IF(AND(VALUE(AL24&amp;"")&gt;=80,VALUE(AL24&amp;"")&lt;=100),"Level 4",""),""))</f>
        <v/>
      </c>
      <c r="AN24" s="13" t="str">
        <f>IF(((TRIM(AD24&amp;"")&lt;&gt;"")+(TRIM(AF24&amp;"")&lt;&gt;"")+(TRIM(AH24&amp;"")&lt;&gt;"")+(TRIM(AJ24&amp;"")&lt;&gt;"")+(TRIM(AL24&amp;"")&lt;&gt;""))=0,"",IF(AND(((IFERROR(VALUE(AD24&amp;""),0)+IFERROR(VALUE(AF24&amp;""),0)+IFERROR(VALUE(AH24&amp;""),0)+IFERROR(VALUE(AJ24&amp;""),0)+IFERROR(VALUE(AL24&amp;""),0))/500*100)&gt;=80,((IFERROR(VALUE(AD24&amp;""),0)+IFERROR(VALUE(AF24&amp;""),0)+IFERROR(VALUE(AH24&amp;""),0)+IFERROR(VALUE(AJ24&amp;""),0)+IFERROR(VALUE(AL24&amp;""),0))/500*100)&lt;=100),"EXCELLENT","")&amp;IF(AND(((IFERROR(VALUE(AD24&amp;""),0)+IFERROR(VALUE(AF24&amp;""),0)+IFERROR(VALUE(AH24&amp;""),0)+IFERROR(VALUE(AJ24&amp;""),0)+IFERROR(VALUE(AL24&amp;""),0))/500*100)&gt;=60,((IFERROR(VALUE(AD24&amp;""),0)+IFERROR(VALUE(AF24&amp;""),0)+IFERROR(VALUE(AH24&amp;""),0)+IFERROR(VALUE(AJ24&amp;""),0)+IFERROR(VALUE(AL24&amp;""),0))/500*100)&lt;=79.99),"GOOD","")&amp;IF(AND(((IFERROR(VALUE(AD24&amp;""),0)+IFERROR(VALUE(AF24&amp;""),0)+IFERROR(VALUE(AH24&amp;""),0)+IFERROR(VALUE(AJ24&amp;""),0)+IFERROR(VALUE(AL24&amp;""),0))/500*100)&gt;=40,((IFERROR(VALUE(AD24&amp;""),0)+IFERROR(VALUE(AF24&amp;""),0)+IFERROR(VALUE(AH24&amp;""),0)+IFERROR(VALUE(AJ24&amp;""),0)+IFERROR(VALUE(AL24&amp;""),0))/500*100)&lt;=59.99),"AVERAGE","")&amp;IF(AND(((IFERROR(VALUE(AD24&amp;""),0)+IFERROR(VALUE(AF24&amp;""),0)+IFERROR(VALUE(AH24&amp;""),0)+IFERROR(VALUE(AJ24&amp;""),0)+IFERROR(VALUE(AL24&amp;""),0))/500*100)&gt;=0,((IFERROR(VALUE(AD24&amp;""),0)+IFERROR(VALUE(AF24&amp;""),0)+IFERROR(VALUE(AH24&amp;""),0)+IFERROR(VALUE(AJ24&amp;""),0)+IFERROR(VALUE(AL24&amp;""),0))/500*100)&lt;=39.99),"NEEDS SUPPORT",""))</f>
        <v/>
      </c>
      <c r="AO24" s="10" t="s">
        <v>207</v>
      </c>
      <c r="AP24" s="10" t="s">
        <v>208</v>
      </c>
      <c r="AQ24" s="10" t="s">
        <v>95</v>
      </c>
    </row>
  </sheetData>
  <sheetProtection sheet="1" formatCells="0" sort="0" autoFilter="0" algorithmName="SHA-512" hashValue="DVIF7vfoC1vo3y9sZU6OAlptilXxxgamLgcEH8epnLXZJSVBM/thKDAfYFM20xoSnJwcULh+k1r2pTfPRgoRRg==" saltValue="vJYb/fLIeELntNUuGPJPCw==" spinCount="100000" objects="1" scenarios="1"/>
  <mergeCells count="6">
    <mergeCell ref="A1:C1"/>
    <mergeCell ref="D1:G1"/>
    <mergeCell ref="H1:R1"/>
    <mergeCell ref="S1:AC1"/>
    <mergeCell ref="AD1:AN1"/>
    <mergeCell ref="AO1:AQ1"/>
  </mergeCells>
  <dataValidations count="384">
    <dataValidation sqref="AB10"/>
    <dataValidation sqref="AB11"/>
    <dataValidation sqref="AB12"/>
    <dataValidation sqref="AB13"/>
    <dataValidation sqref="AB14"/>
    <dataValidation sqref="AB15"/>
    <dataValidation sqref="AB16"/>
    <dataValidation sqref="AB17"/>
    <dataValidation sqref="AB18"/>
    <dataValidation sqref="AB19"/>
    <dataValidation sqref="AB20"/>
    <dataValidation sqref="AB21"/>
    <dataValidation sqref="AB22"/>
    <dataValidation sqref="AB23"/>
    <dataValidation sqref="AB24"/>
    <dataValidation sqref="AB4"/>
    <dataValidation sqref="AB5"/>
    <dataValidation sqref="AB6"/>
    <dataValidation sqref="AB7"/>
    <dataValidation sqref="AB8"/>
    <dataValidation sqref="AB9"/>
    <dataValidation sqref="AC10"/>
    <dataValidation sqref="AC11"/>
    <dataValidation sqref="AC12"/>
    <dataValidation sqref="AC13"/>
    <dataValidation sqref="AC14"/>
    <dataValidation sqref="AC15"/>
    <dataValidation sqref="AC16"/>
    <dataValidation sqref="AC17"/>
    <dataValidation sqref="AC18"/>
    <dataValidation sqref="AC19"/>
    <dataValidation sqref="AC20"/>
    <dataValidation sqref="AC21"/>
    <dataValidation sqref="AC22"/>
    <dataValidation sqref="AC23"/>
    <dataValidation sqref="AC24"/>
    <dataValidation sqref="AC4"/>
    <dataValidation sqref="AC5"/>
    <dataValidation sqref="AC6"/>
    <dataValidation sqref="AC7"/>
    <dataValidation sqref="AC8"/>
    <dataValidation sqref="AC9"/>
    <dataValidation sqref="AE10"/>
    <dataValidation sqref="AE11"/>
    <dataValidation sqref="AE12"/>
    <dataValidation sqref="AE13"/>
    <dataValidation sqref="AE14"/>
    <dataValidation sqref="AE15"/>
    <dataValidation sqref="AE16"/>
    <dataValidation sqref="AE17"/>
    <dataValidation sqref="AE18"/>
    <dataValidation sqref="AE19"/>
    <dataValidation sqref="AE20"/>
    <dataValidation sqref="AE21"/>
    <dataValidation sqref="AE22"/>
    <dataValidation sqref="AE23"/>
    <dataValidation sqref="AE24"/>
    <dataValidation sqref="AE4"/>
    <dataValidation sqref="AE5"/>
    <dataValidation sqref="AE6"/>
    <dataValidation sqref="AE7"/>
    <dataValidation sqref="AE8"/>
    <dataValidation sqref="AE9"/>
    <dataValidation sqref="AG10"/>
    <dataValidation sqref="AG11"/>
    <dataValidation sqref="AG12"/>
    <dataValidation sqref="AG13"/>
    <dataValidation sqref="AG14"/>
    <dataValidation sqref="AG15"/>
    <dataValidation sqref="AG16"/>
    <dataValidation sqref="AG17"/>
    <dataValidation sqref="AG18"/>
    <dataValidation sqref="AG19"/>
    <dataValidation sqref="AG20"/>
    <dataValidation sqref="AG21"/>
    <dataValidation sqref="AG22"/>
    <dataValidation sqref="AG23"/>
    <dataValidation sqref="AG24"/>
    <dataValidation sqref="AG4"/>
    <dataValidation sqref="AG5"/>
    <dataValidation sqref="AG6"/>
    <dataValidation sqref="AG7"/>
    <dataValidation sqref="AG8"/>
    <dataValidation sqref="AG9"/>
    <dataValidation sqref="AI10"/>
    <dataValidation sqref="AI11"/>
    <dataValidation sqref="AI12"/>
    <dataValidation sqref="AI13"/>
    <dataValidation sqref="AI14"/>
    <dataValidation sqref="AI15"/>
    <dataValidation sqref="AI16"/>
    <dataValidation sqref="AI17"/>
    <dataValidation sqref="AI18"/>
    <dataValidation sqref="AI19"/>
    <dataValidation sqref="AI20"/>
    <dataValidation sqref="AI21"/>
    <dataValidation sqref="AI22"/>
    <dataValidation sqref="AI23"/>
    <dataValidation sqref="AI24"/>
    <dataValidation sqref="AI4"/>
    <dataValidation sqref="AI5"/>
    <dataValidation sqref="AI6"/>
    <dataValidation sqref="AI7"/>
    <dataValidation sqref="AI8"/>
    <dataValidation sqref="AI9"/>
    <dataValidation sqref="AK10"/>
    <dataValidation sqref="AK11"/>
    <dataValidation sqref="AK12"/>
    <dataValidation sqref="AK13"/>
    <dataValidation sqref="AK14"/>
    <dataValidation sqref="AK15"/>
    <dataValidation sqref="AK16"/>
    <dataValidation sqref="AK17"/>
    <dataValidation sqref="AK18"/>
    <dataValidation sqref="AK19"/>
    <dataValidation sqref="AK20"/>
    <dataValidation sqref="AK21"/>
    <dataValidation sqref="AK22"/>
    <dataValidation sqref="AK23"/>
    <dataValidation sqref="AK24"/>
    <dataValidation sqref="AK4"/>
    <dataValidation sqref="AK5"/>
    <dataValidation sqref="AK6"/>
    <dataValidation sqref="AK7"/>
    <dataValidation sqref="AK8"/>
    <dataValidation sqref="AK9"/>
    <dataValidation sqref="AM10"/>
    <dataValidation sqref="AM11"/>
    <dataValidation sqref="AM12"/>
    <dataValidation sqref="AM13"/>
    <dataValidation sqref="AM14"/>
    <dataValidation sqref="AM15"/>
    <dataValidation sqref="AM16"/>
    <dataValidation sqref="AM17"/>
    <dataValidation sqref="AM18"/>
    <dataValidation sqref="AM19"/>
    <dataValidation sqref="AM20"/>
    <dataValidation sqref="AM21"/>
    <dataValidation sqref="AM22"/>
    <dataValidation sqref="AM23"/>
    <dataValidation sqref="AM24"/>
    <dataValidation sqref="AM4"/>
    <dataValidation sqref="AM5"/>
    <dataValidation sqref="AM6"/>
    <dataValidation sqref="AM7"/>
    <dataValidation sqref="AM8"/>
    <dataValidation sqref="AM9"/>
    <dataValidation sqref="AN10"/>
    <dataValidation sqref="AN11"/>
    <dataValidation sqref="AN12"/>
    <dataValidation sqref="AN13"/>
    <dataValidation sqref="AN14"/>
    <dataValidation sqref="AN15"/>
    <dataValidation sqref="AN16"/>
    <dataValidation sqref="AN17"/>
    <dataValidation sqref="AN18"/>
    <dataValidation sqref="AN19"/>
    <dataValidation sqref="AN20"/>
    <dataValidation sqref="AN21"/>
    <dataValidation sqref="AN22"/>
    <dataValidation sqref="AN23"/>
    <dataValidation sqref="AN24"/>
    <dataValidation sqref="AN4"/>
    <dataValidation sqref="AN5"/>
    <dataValidation sqref="AN6"/>
    <dataValidation sqref="AN7"/>
    <dataValidation sqref="AN8"/>
    <dataValidation sqref="AN9"/>
    <dataValidation type="list" allowBlank="1" showInputMessage="1" promptTitle="Select a value" prompt="Choose one of the listed options." showErrorMessage="1" errorTitle="Invalid Entry" error="Please select a value from the list." sqref="B10:B24">
      <formula1>'Validation'!$A$2:$A$9</formula1>
    </dataValidation>
    <dataValidation type="list" allowBlank="1" showInputMessage="1" promptTitle="Select a value" prompt="Choose one of the listed options." showErrorMessage="1" errorTitle="Invalid Entry" error="Please select a value from the list." sqref="B3:B24">
      <formula1>'Validation'!$A$2:$A$9</formula1>
    </dataValidation>
    <dataValidation type="list" allowBlank="1" showInputMessage="1" promptTitle="Select a value" prompt="Choose one of the listed options." showErrorMessage="1" errorTitle="Invalid Entry" error="Please select a value from the list." sqref="C10:C24">
      <formula1>'Validation'!$B$2:$B$8</formula1>
    </dataValidation>
    <dataValidation type="list" allowBlank="1" showInputMessage="1" promptTitle="Select a value" prompt="Choose one of the listed options." showErrorMessage="1" errorTitle="Invalid Entry" error="Please select a value from the list." sqref="C3:C24">
      <formula1>'Validation'!$B$2:$B$8</formula1>
    </dataValidation>
    <dataValidation type="list" allowBlank="1" showInputMessage="1" promptTitle="Select a value" prompt="Choose one of the listed options." showErrorMessage="1" errorTitle="Invalid Entry" error="Please select a value from the list." sqref="G10:G24">
      <formula1>'Validation'!$C$2:$C$3</formula1>
    </dataValidation>
    <dataValidation type="list" allowBlank="1" showInputMessage="1" promptTitle="Select a value" prompt="Choose one of the listed options." showErrorMessage="1" errorTitle="Invalid Entry" error="Please select a value from the list." sqref="G3:G24">
      <formula1>'Validation'!$C$2:$C$3</formula1>
    </dataValidation>
    <dataValidation sqref="I10"/>
    <dataValidation sqref="I11"/>
    <dataValidation sqref="I12"/>
    <dataValidation sqref="I13"/>
    <dataValidation sqref="I14"/>
    <dataValidation sqref="I15"/>
    <dataValidation sqref="I16"/>
    <dataValidation sqref="I17"/>
    <dataValidation sqref="I18"/>
    <dataValidation sqref="I19"/>
    <dataValidation sqref="I20"/>
    <dataValidation sqref="I21"/>
    <dataValidation sqref="I22"/>
    <dataValidation sqref="I23"/>
    <dataValidation sqref="I24"/>
    <dataValidation sqref="I4"/>
    <dataValidation sqref="I5"/>
    <dataValidation sqref="I6"/>
    <dataValidation sqref="I7"/>
    <dataValidation sqref="I8"/>
    <dataValidation sqref="I9"/>
    <dataValidation sqref="K10"/>
    <dataValidation sqref="K11"/>
    <dataValidation sqref="K12"/>
    <dataValidation sqref="K13"/>
    <dataValidation sqref="K14"/>
    <dataValidation sqref="K15"/>
    <dataValidation sqref="K16"/>
    <dataValidation sqref="K17"/>
    <dataValidation sqref="K18"/>
    <dataValidation sqref="K19"/>
    <dataValidation sqref="K20"/>
    <dataValidation sqref="K21"/>
    <dataValidation sqref="K22"/>
    <dataValidation sqref="K23"/>
    <dataValidation sqref="K24"/>
    <dataValidation sqref="K4"/>
    <dataValidation sqref="K5"/>
    <dataValidation sqref="K6"/>
    <dataValidation sqref="K7"/>
    <dataValidation sqref="K8"/>
    <dataValidation sqref="K9"/>
    <dataValidation sqref="M10"/>
    <dataValidation sqref="M11"/>
    <dataValidation sqref="M12"/>
    <dataValidation sqref="M13"/>
    <dataValidation sqref="M14"/>
    <dataValidation sqref="M15"/>
    <dataValidation sqref="M16"/>
    <dataValidation sqref="M17"/>
    <dataValidation sqref="M18"/>
    <dataValidation sqref="M19"/>
    <dataValidation sqref="M20"/>
    <dataValidation sqref="M21"/>
    <dataValidation sqref="M22"/>
    <dataValidation sqref="M23"/>
    <dataValidation sqref="M24"/>
    <dataValidation sqref="M4"/>
    <dataValidation sqref="M5"/>
    <dataValidation sqref="M6"/>
    <dataValidation sqref="M7"/>
    <dataValidation sqref="M8"/>
    <dataValidation sqref="M9"/>
    <dataValidation sqref="O10"/>
    <dataValidation sqref="O11"/>
    <dataValidation sqref="O12"/>
    <dataValidation sqref="O13"/>
    <dataValidation sqref="O14"/>
    <dataValidation sqref="O15"/>
    <dataValidation sqref="O16"/>
    <dataValidation sqref="O17"/>
    <dataValidation sqref="O18"/>
    <dataValidation sqref="O19"/>
    <dataValidation sqref="O20"/>
    <dataValidation sqref="O21"/>
    <dataValidation sqref="O22"/>
    <dataValidation sqref="O23"/>
    <dataValidation sqref="O24"/>
    <dataValidation sqref="O4"/>
    <dataValidation sqref="O5"/>
    <dataValidation sqref="O6"/>
    <dataValidation sqref="O7"/>
    <dataValidation sqref="O8"/>
    <dataValidation sqref="O9"/>
    <dataValidation sqref="Q10"/>
    <dataValidation sqref="Q11"/>
    <dataValidation sqref="Q12"/>
    <dataValidation sqref="Q13"/>
    <dataValidation sqref="Q14"/>
    <dataValidation sqref="Q15"/>
    <dataValidation sqref="Q16"/>
    <dataValidation sqref="Q17"/>
    <dataValidation sqref="Q18"/>
    <dataValidation sqref="Q19"/>
    <dataValidation sqref="Q20"/>
    <dataValidation sqref="Q21"/>
    <dataValidation sqref="Q22"/>
    <dataValidation sqref="Q23"/>
    <dataValidation sqref="Q24"/>
    <dataValidation sqref="Q4"/>
    <dataValidation sqref="Q5"/>
    <dataValidation sqref="Q6"/>
    <dataValidation sqref="Q7"/>
    <dataValidation sqref="Q8"/>
    <dataValidation sqref="Q9"/>
    <dataValidation sqref="R10"/>
    <dataValidation sqref="R11"/>
    <dataValidation sqref="R12"/>
    <dataValidation sqref="R13"/>
    <dataValidation sqref="R14"/>
    <dataValidation sqref="R15"/>
    <dataValidation sqref="R16"/>
    <dataValidation sqref="R17"/>
    <dataValidation sqref="R18"/>
    <dataValidation sqref="R19"/>
    <dataValidation sqref="R20"/>
    <dataValidation sqref="R21"/>
    <dataValidation sqref="R22"/>
    <dataValidation sqref="R23"/>
    <dataValidation sqref="R24"/>
    <dataValidation sqref="R4"/>
    <dataValidation sqref="R5"/>
    <dataValidation sqref="R6"/>
    <dataValidation sqref="R7"/>
    <dataValidation sqref="R8"/>
    <dataValidation sqref="R9"/>
    <dataValidation sqref="T10"/>
    <dataValidation sqref="T11"/>
    <dataValidation sqref="T12"/>
    <dataValidation sqref="T13"/>
    <dataValidation sqref="T14"/>
    <dataValidation sqref="T15"/>
    <dataValidation sqref="T16"/>
    <dataValidation sqref="T17"/>
    <dataValidation sqref="T18"/>
    <dataValidation sqref="T19"/>
    <dataValidation sqref="T20"/>
    <dataValidation sqref="T21"/>
    <dataValidation sqref="T22"/>
    <dataValidation sqref="T23"/>
    <dataValidation sqref="T24"/>
    <dataValidation sqref="T4"/>
    <dataValidation sqref="T5"/>
    <dataValidation sqref="T6"/>
    <dataValidation sqref="T7"/>
    <dataValidation sqref="T8"/>
    <dataValidation sqref="T9"/>
    <dataValidation sqref="V10"/>
    <dataValidation sqref="V11"/>
    <dataValidation sqref="V12"/>
    <dataValidation sqref="V13"/>
    <dataValidation sqref="V14"/>
    <dataValidation sqref="V15"/>
    <dataValidation sqref="V16"/>
    <dataValidation sqref="V17"/>
    <dataValidation sqref="V18"/>
    <dataValidation sqref="V19"/>
    <dataValidation sqref="V20"/>
    <dataValidation sqref="V21"/>
    <dataValidation sqref="V22"/>
    <dataValidation sqref="V23"/>
    <dataValidation sqref="V24"/>
    <dataValidation sqref="V4"/>
    <dataValidation sqref="V5"/>
    <dataValidation sqref="V6"/>
    <dataValidation sqref="V7"/>
    <dataValidation sqref="V8"/>
    <dataValidation sqref="V9"/>
    <dataValidation sqref="X10"/>
    <dataValidation sqref="X11"/>
    <dataValidation sqref="X12"/>
    <dataValidation sqref="X13"/>
    <dataValidation sqref="X14"/>
    <dataValidation sqref="X15"/>
    <dataValidation sqref="X16"/>
    <dataValidation sqref="X17"/>
    <dataValidation sqref="X18"/>
    <dataValidation sqref="X19"/>
    <dataValidation sqref="X20"/>
    <dataValidation sqref="X21"/>
    <dataValidation sqref="X22"/>
    <dataValidation sqref="X23"/>
    <dataValidation sqref="X24"/>
    <dataValidation sqref="X4"/>
    <dataValidation sqref="X5"/>
    <dataValidation sqref="X6"/>
    <dataValidation sqref="X7"/>
    <dataValidation sqref="X8"/>
    <dataValidation sqref="X9"/>
    <dataValidation sqref="Z10"/>
    <dataValidation sqref="Z11"/>
    <dataValidation sqref="Z12"/>
    <dataValidation sqref="Z13"/>
    <dataValidation sqref="Z14"/>
    <dataValidation sqref="Z15"/>
    <dataValidation sqref="Z16"/>
    <dataValidation sqref="Z17"/>
    <dataValidation sqref="Z18"/>
    <dataValidation sqref="Z19"/>
    <dataValidation sqref="Z20"/>
    <dataValidation sqref="Z21"/>
    <dataValidation sqref="Z22"/>
    <dataValidation sqref="Z23"/>
    <dataValidation sqref="Z24"/>
    <dataValidation sqref="Z4"/>
    <dataValidation sqref="Z5"/>
    <dataValidation sqref="Z6"/>
    <dataValidation sqref="Z7"/>
    <dataValidation sqref="Z8"/>
    <dataValidation sqref="Z9"/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FormatPr defaultRowHeight="15" outlineLevelRow="0" outlineLevelCol="0" x14ac:dyDescent="55"/>
  <cols>
    <col min="1" max="7" width="25" customWidth="1"/>
  </cols>
  <sheetData>
    <row r="1" spans="1:7" x14ac:dyDescent="0.25">
      <c r="A1" t="s">
        <v>209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</row>
    <row r="2" spans="1:6" x14ac:dyDescent="0.25">
      <c r="A2" t="s">
        <v>216</v>
      </c>
      <c r="B2" t="s">
        <v>217</v>
      </c>
      <c r="D2" t="s">
        <v>47</v>
      </c>
      <c r="E2" t="s">
        <v>26</v>
      </c>
      <c r="F2" t="s">
        <v>218</v>
      </c>
    </row>
    <row r="3" spans="4:6" x14ac:dyDescent="0.25">
      <c r="D3" t="s">
        <v>219</v>
      </c>
      <c r="E3" t="s">
        <v>220</v>
      </c>
      <c r="F3" t="s">
        <v>218</v>
      </c>
    </row>
    <row r="4" spans="4:6" x14ac:dyDescent="0.25">
      <c r="D4" t="s">
        <v>88</v>
      </c>
      <c r="E4" t="s">
        <v>46</v>
      </c>
      <c r="F4" t="s">
        <v>218</v>
      </c>
    </row>
    <row r="5" spans="4:7" x14ac:dyDescent="0.25">
      <c r="D5" t="s">
        <v>50</v>
      </c>
      <c r="E5" t="s">
        <v>29</v>
      </c>
      <c r="F5" t="s">
        <v>218</v>
      </c>
      <c r="G5" t="s">
        <v>211</v>
      </c>
    </row>
    <row r="6" spans="4:7" x14ac:dyDescent="0.25">
      <c r="D6" t="s">
        <v>51</v>
      </c>
      <c r="E6" t="s">
        <v>30</v>
      </c>
      <c r="F6" t="s">
        <v>218</v>
      </c>
      <c r="G6" t="s">
        <v>211</v>
      </c>
    </row>
    <row r="7" spans="4:7" x14ac:dyDescent="0.25">
      <c r="D7" t="s">
        <v>52</v>
      </c>
      <c r="E7" t="s">
        <v>31</v>
      </c>
      <c r="F7" t="s">
        <v>218</v>
      </c>
      <c r="G7" t="s">
        <v>211</v>
      </c>
    </row>
    <row r="8" spans="4:7" x14ac:dyDescent="0.25">
      <c r="D8" t="s">
        <v>2</v>
      </c>
      <c r="E8" t="s">
        <v>32</v>
      </c>
      <c r="F8" t="s">
        <v>218</v>
      </c>
      <c r="G8" t="s">
        <v>221</v>
      </c>
    </row>
    <row r="9" spans="4:7" x14ac:dyDescent="0.25">
      <c r="D9" t="s">
        <v>222</v>
      </c>
      <c r="E9" t="s">
        <v>223</v>
      </c>
      <c r="F9" t="s">
        <v>224</v>
      </c>
      <c r="G9" t="s">
        <v>211</v>
      </c>
    </row>
    <row r="10" spans="4:7" x14ac:dyDescent="0.25">
      <c r="D10" t="s">
        <v>225</v>
      </c>
      <c r="E10" t="s">
        <v>226</v>
      </c>
      <c r="F10" t="s">
        <v>224</v>
      </c>
      <c r="G10" t="s">
        <v>211</v>
      </c>
    </row>
    <row r="11" spans="4:7" x14ac:dyDescent="0.25">
      <c r="D11" t="s">
        <v>227</v>
      </c>
      <c r="E11" t="s">
        <v>228</v>
      </c>
      <c r="F11" t="s">
        <v>218</v>
      </c>
      <c r="G11" t="s">
        <v>229</v>
      </c>
    </row>
    <row r="12" spans="4:7" x14ac:dyDescent="0.25">
      <c r="D12" t="s">
        <v>230</v>
      </c>
      <c r="E12" t="s">
        <v>231</v>
      </c>
      <c r="F12" t="s">
        <v>218</v>
      </c>
      <c r="G12" t="s">
        <v>211</v>
      </c>
    </row>
    <row r="13" spans="4:7" x14ac:dyDescent="0.25">
      <c r="D13" t="s">
        <v>232</v>
      </c>
      <c r="E13" t="s">
        <v>233</v>
      </c>
      <c r="F13" t="s">
        <v>218</v>
      </c>
      <c r="G13" t="s">
        <v>211</v>
      </c>
    </row>
    <row r="14" spans="4:7" x14ac:dyDescent="0.25">
      <c r="D14" t="s">
        <v>234</v>
      </c>
      <c r="E14" t="s">
        <v>235</v>
      </c>
      <c r="F14" t="s">
        <v>218</v>
      </c>
      <c r="G14" t="s">
        <v>211</v>
      </c>
    </row>
    <row r="15" spans="4:7" x14ac:dyDescent="0.25">
      <c r="D15" t="s">
        <v>236</v>
      </c>
      <c r="E15" t="s">
        <v>237</v>
      </c>
      <c r="F15" t="s">
        <v>218</v>
      </c>
      <c r="G15" t="s">
        <v>211</v>
      </c>
    </row>
    <row r="16" spans="4:7" x14ac:dyDescent="0.25">
      <c r="D16" t="s">
        <v>238</v>
      </c>
      <c r="E16" t="s">
        <v>239</v>
      </c>
      <c r="F16" t="s">
        <v>218</v>
      </c>
      <c r="G16" t="s">
        <v>240</v>
      </c>
    </row>
    <row r="17" spans="4:7" x14ac:dyDescent="0.25">
      <c r="D17" t="s">
        <v>241</v>
      </c>
      <c r="E17" t="s">
        <v>242</v>
      </c>
      <c r="F17" t="s">
        <v>218</v>
      </c>
      <c r="G17" t="s">
        <v>243</v>
      </c>
    </row>
    <row r="18" spans="4:7" x14ac:dyDescent="0.25">
      <c r="D18" t="s">
        <v>244</v>
      </c>
      <c r="E18" t="s">
        <v>245</v>
      </c>
      <c r="F18" t="s">
        <v>218</v>
      </c>
      <c r="G18" t="s">
        <v>246</v>
      </c>
    </row>
    <row r="19" spans="4:7" x14ac:dyDescent="0.25">
      <c r="D19" t="s">
        <v>247</v>
      </c>
      <c r="E19" t="s">
        <v>248</v>
      </c>
      <c r="F19" t="s">
        <v>249</v>
      </c>
      <c r="G19" t="s">
        <v>250</v>
      </c>
    </row>
    <row r="20" spans="4:7" x14ac:dyDescent="0.25">
      <c r="D20" t="s">
        <v>251</v>
      </c>
      <c r="E20" t="s">
        <v>252</v>
      </c>
      <c r="F20" t="s">
        <v>253</v>
      </c>
      <c r="G20" t="s">
        <v>211</v>
      </c>
    </row>
    <row r="21" spans="4:7" x14ac:dyDescent="0.25">
      <c r="D21" t="s">
        <v>254</v>
      </c>
      <c r="E21" t="s">
        <v>255</v>
      </c>
      <c r="F21" t="s">
        <v>218</v>
      </c>
      <c r="G21" t="s">
        <v>211</v>
      </c>
    </row>
    <row r="22" spans="4:7" x14ac:dyDescent="0.25">
      <c r="D22" t="s">
        <v>256</v>
      </c>
      <c r="E22" t="s">
        <v>257</v>
      </c>
      <c r="F22" t="s">
        <v>218</v>
      </c>
      <c r="G22" t="s">
        <v>258</v>
      </c>
    </row>
    <row r="23" spans="4:7" x14ac:dyDescent="0.25">
      <c r="D23" t="s">
        <v>259</v>
      </c>
      <c r="E23" t="s">
        <v>33</v>
      </c>
      <c r="F23" t="s">
        <v>260</v>
      </c>
      <c r="G23" t="s">
        <v>211</v>
      </c>
    </row>
    <row r="24" spans="4:7" x14ac:dyDescent="0.25">
      <c r="D24" t="s">
        <v>261</v>
      </c>
      <c r="E24" t="s">
        <v>262</v>
      </c>
      <c r="F24" t="s">
        <v>260</v>
      </c>
      <c r="G24" t="s">
        <v>211</v>
      </c>
    </row>
    <row r="25" spans="4:7" x14ac:dyDescent="0.25">
      <c r="D25" t="s">
        <v>263</v>
      </c>
      <c r="E25" t="s">
        <v>35</v>
      </c>
      <c r="F25" t="s">
        <v>260</v>
      </c>
      <c r="G25" t="s">
        <v>211</v>
      </c>
    </row>
    <row r="26" spans="4:7" x14ac:dyDescent="0.25">
      <c r="D26" t="s">
        <v>264</v>
      </c>
      <c r="E26" t="s">
        <v>37</v>
      </c>
      <c r="F26" t="s">
        <v>260</v>
      </c>
      <c r="G26" t="s">
        <v>211</v>
      </c>
    </row>
    <row r="27" spans="4:7" x14ac:dyDescent="0.25">
      <c r="D27" t="s">
        <v>265</v>
      </c>
      <c r="E27" t="s">
        <v>39</v>
      </c>
      <c r="F27" t="s">
        <v>260</v>
      </c>
      <c r="G27" t="s">
        <v>211</v>
      </c>
    </row>
    <row r="28" spans="4:7" x14ac:dyDescent="0.25">
      <c r="D28" t="s">
        <v>266</v>
      </c>
      <c r="E28" t="s">
        <v>41</v>
      </c>
      <c r="F28" t="s">
        <v>260</v>
      </c>
      <c r="G28" t="s">
        <v>211</v>
      </c>
    </row>
    <row r="29" spans="4:7" x14ac:dyDescent="0.25">
      <c r="D29" t="s">
        <v>267</v>
      </c>
      <c r="E29" t="s">
        <v>268</v>
      </c>
      <c r="F29" t="s">
        <v>218</v>
      </c>
      <c r="G29" t="s">
        <v>269</v>
      </c>
    </row>
    <row r="30" spans="4:7" x14ac:dyDescent="0.25">
      <c r="D30" t="s">
        <v>270</v>
      </c>
      <c r="E30" t="s">
        <v>36</v>
      </c>
      <c r="F30" t="s">
        <v>218</v>
      </c>
      <c r="G30" t="s">
        <v>269</v>
      </c>
    </row>
    <row r="31" spans="4:7" x14ac:dyDescent="0.25">
      <c r="D31" t="s">
        <v>271</v>
      </c>
      <c r="E31" t="s">
        <v>43</v>
      </c>
      <c r="F31" t="s">
        <v>218</v>
      </c>
      <c r="G31" t="s">
        <v>272</v>
      </c>
    </row>
    <row r="32" spans="4:7" x14ac:dyDescent="0.25">
      <c r="D32" t="s">
        <v>273</v>
      </c>
      <c r="E32" t="s">
        <v>38</v>
      </c>
      <c r="F32" t="s">
        <v>218</v>
      </c>
      <c r="G32" t="s">
        <v>269</v>
      </c>
    </row>
    <row r="33" spans="4:7" x14ac:dyDescent="0.25">
      <c r="D33" t="s">
        <v>274</v>
      </c>
      <c r="E33" t="s">
        <v>40</v>
      </c>
      <c r="F33" t="s">
        <v>218</v>
      </c>
      <c r="G33" t="s">
        <v>269</v>
      </c>
    </row>
    <row r="34" spans="4:7" x14ac:dyDescent="0.25">
      <c r="D34" t="s">
        <v>275</v>
      </c>
      <c r="E34" t="s">
        <v>42</v>
      </c>
      <c r="F34" t="s">
        <v>218</v>
      </c>
      <c r="G34" t="s">
        <v>269</v>
      </c>
    </row>
    <row r="35" spans="4:7" x14ac:dyDescent="0.25">
      <c r="D35" t="s">
        <v>276</v>
      </c>
      <c r="E35" t="s">
        <v>34</v>
      </c>
      <c r="F35" t="s">
        <v>218</v>
      </c>
      <c r="G35" t="s">
        <v>269</v>
      </c>
    </row>
    <row r="36" spans="4:7" x14ac:dyDescent="0.25">
      <c r="D36" t="s">
        <v>277</v>
      </c>
      <c r="E36" t="s">
        <v>278</v>
      </c>
      <c r="F36" t="s">
        <v>218</v>
      </c>
      <c r="G36" t="s">
        <v>269</v>
      </c>
    </row>
    <row r="37" spans="4:7" x14ac:dyDescent="0.25">
      <c r="D37" t="s">
        <v>279</v>
      </c>
      <c r="E37" t="s">
        <v>280</v>
      </c>
      <c r="F37" t="s">
        <v>260</v>
      </c>
      <c r="G37" t="s">
        <v>211</v>
      </c>
    </row>
    <row r="38" spans="4:7" x14ac:dyDescent="0.25">
      <c r="D38" t="s">
        <v>281</v>
      </c>
      <c r="E38" t="s">
        <v>282</v>
      </c>
      <c r="F38" t="s">
        <v>218</v>
      </c>
      <c r="G38" t="s">
        <v>269</v>
      </c>
    </row>
    <row r="39" spans="4:7" x14ac:dyDescent="0.25">
      <c r="D39" t="s">
        <v>283</v>
      </c>
      <c r="E39" t="s">
        <v>284</v>
      </c>
      <c r="F39" t="s">
        <v>260</v>
      </c>
      <c r="G39" t="s">
        <v>211</v>
      </c>
    </row>
    <row r="40" spans="4:7" x14ac:dyDescent="0.25">
      <c r="D40" t="s">
        <v>259</v>
      </c>
      <c r="E40" t="s">
        <v>33</v>
      </c>
      <c r="F40" t="s">
        <v>260</v>
      </c>
      <c r="G40" t="s">
        <v>211</v>
      </c>
    </row>
    <row r="41" spans="4:7" x14ac:dyDescent="0.25">
      <c r="D41" t="s">
        <v>261</v>
      </c>
      <c r="E41" t="s">
        <v>262</v>
      </c>
      <c r="F41" t="s">
        <v>260</v>
      </c>
      <c r="G41" t="s">
        <v>211</v>
      </c>
    </row>
    <row r="42" spans="4:7" x14ac:dyDescent="0.25">
      <c r="D42" t="s">
        <v>263</v>
      </c>
      <c r="E42" t="s">
        <v>35</v>
      </c>
      <c r="F42" t="s">
        <v>260</v>
      </c>
      <c r="G42" t="s">
        <v>211</v>
      </c>
    </row>
    <row r="43" spans="4:7" x14ac:dyDescent="0.25">
      <c r="D43" t="s">
        <v>264</v>
      </c>
      <c r="E43" t="s">
        <v>37</v>
      </c>
      <c r="F43" t="s">
        <v>260</v>
      </c>
      <c r="G43" t="s">
        <v>211</v>
      </c>
    </row>
    <row r="44" spans="4:7" x14ac:dyDescent="0.25">
      <c r="D44" t="s">
        <v>265</v>
      </c>
      <c r="E44" t="s">
        <v>39</v>
      </c>
      <c r="F44" t="s">
        <v>260</v>
      </c>
      <c r="G44" t="s">
        <v>211</v>
      </c>
    </row>
    <row r="45" spans="4:7" x14ac:dyDescent="0.25">
      <c r="D45" t="s">
        <v>266</v>
      </c>
      <c r="E45" t="s">
        <v>41</v>
      </c>
      <c r="F45" t="s">
        <v>260</v>
      </c>
      <c r="G45" t="s">
        <v>211</v>
      </c>
    </row>
    <row r="46" spans="4:7" x14ac:dyDescent="0.25">
      <c r="D46" t="s">
        <v>267</v>
      </c>
      <c r="E46" t="s">
        <v>268</v>
      </c>
      <c r="F46" t="s">
        <v>218</v>
      </c>
      <c r="G46" t="s">
        <v>269</v>
      </c>
    </row>
    <row r="47" spans="4:7" x14ac:dyDescent="0.25">
      <c r="D47" t="s">
        <v>283</v>
      </c>
      <c r="E47" t="s">
        <v>284</v>
      </c>
      <c r="F47" t="s">
        <v>260</v>
      </c>
      <c r="G47" t="s">
        <v>211</v>
      </c>
    </row>
    <row r="48" spans="4:7" x14ac:dyDescent="0.25">
      <c r="D48" t="s">
        <v>270</v>
      </c>
      <c r="E48" t="s">
        <v>36</v>
      </c>
      <c r="F48" t="s">
        <v>218</v>
      </c>
      <c r="G48" t="s">
        <v>269</v>
      </c>
    </row>
    <row r="49" spans="4:7" x14ac:dyDescent="0.25">
      <c r="D49" t="s">
        <v>271</v>
      </c>
      <c r="E49" t="s">
        <v>43</v>
      </c>
      <c r="F49" t="s">
        <v>218</v>
      </c>
      <c r="G49" t="s">
        <v>272</v>
      </c>
    </row>
    <row r="50" spans="4:7" x14ac:dyDescent="0.25">
      <c r="D50" t="s">
        <v>273</v>
      </c>
      <c r="E50" t="s">
        <v>38</v>
      </c>
      <c r="F50" t="s">
        <v>218</v>
      </c>
      <c r="G50" t="s">
        <v>269</v>
      </c>
    </row>
    <row r="51" spans="4:7" x14ac:dyDescent="0.25">
      <c r="D51" t="s">
        <v>274</v>
      </c>
      <c r="E51" t="s">
        <v>40</v>
      </c>
      <c r="F51" t="s">
        <v>218</v>
      </c>
      <c r="G51" t="s">
        <v>269</v>
      </c>
    </row>
    <row r="52" spans="4:7" x14ac:dyDescent="0.25">
      <c r="D52" t="s">
        <v>275</v>
      </c>
      <c r="E52" t="s">
        <v>42</v>
      </c>
      <c r="F52" t="s">
        <v>218</v>
      </c>
      <c r="G52" t="s">
        <v>269</v>
      </c>
    </row>
    <row r="53" spans="4:7" x14ac:dyDescent="0.25">
      <c r="D53" t="s">
        <v>276</v>
      </c>
      <c r="E53" t="s">
        <v>34</v>
      </c>
      <c r="F53" t="s">
        <v>218</v>
      </c>
      <c r="G53" t="s">
        <v>269</v>
      </c>
    </row>
    <row r="54" spans="4:7" x14ac:dyDescent="0.25">
      <c r="D54" t="s">
        <v>277</v>
      </c>
      <c r="E54" t="s">
        <v>278</v>
      </c>
      <c r="F54" t="s">
        <v>218</v>
      </c>
      <c r="G54" t="s">
        <v>269</v>
      </c>
    </row>
    <row r="55" spans="4:7" x14ac:dyDescent="0.25">
      <c r="D55" t="s">
        <v>279</v>
      </c>
      <c r="E55" t="s">
        <v>280</v>
      </c>
      <c r="F55" t="s">
        <v>260</v>
      </c>
      <c r="G55" t="s">
        <v>211</v>
      </c>
    </row>
    <row r="56" spans="4:7" x14ac:dyDescent="0.25">
      <c r="D56" t="s">
        <v>281</v>
      </c>
      <c r="E56" t="s">
        <v>282</v>
      </c>
      <c r="F56" t="s">
        <v>218</v>
      </c>
      <c r="G56" t="s">
        <v>269</v>
      </c>
    </row>
    <row r="57" spans="4:7" x14ac:dyDescent="0.25">
      <c r="D57" t="s">
        <v>259</v>
      </c>
      <c r="E57" t="s">
        <v>33</v>
      </c>
      <c r="F57" t="s">
        <v>260</v>
      </c>
      <c r="G57" t="s">
        <v>211</v>
      </c>
    </row>
    <row r="58" spans="4:7" x14ac:dyDescent="0.25">
      <c r="D58" t="s">
        <v>261</v>
      </c>
      <c r="E58" t="s">
        <v>262</v>
      </c>
      <c r="F58" t="s">
        <v>260</v>
      </c>
      <c r="G58" t="s">
        <v>211</v>
      </c>
    </row>
    <row r="59" spans="4:7" x14ac:dyDescent="0.25">
      <c r="D59" t="s">
        <v>263</v>
      </c>
      <c r="E59" t="s">
        <v>35</v>
      </c>
      <c r="F59" t="s">
        <v>260</v>
      </c>
      <c r="G59" t="s">
        <v>211</v>
      </c>
    </row>
    <row r="60" spans="4:7" x14ac:dyDescent="0.25">
      <c r="D60" t="s">
        <v>265</v>
      </c>
      <c r="E60" t="s">
        <v>39</v>
      </c>
      <c r="F60" t="s">
        <v>260</v>
      </c>
      <c r="G60" t="s">
        <v>211</v>
      </c>
    </row>
    <row r="61" spans="4:7" x14ac:dyDescent="0.25">
      <c r="D61" t="s">
        <v>266</v>
      </c>
      <c r="E61" t="s">
        <v>41</v>
      </c>
      <c r="F61" t="s">
        <v>260</v>
      </c>
      <c r="G61" t="s">
        <v>211</v>
      </c>
    </row>
    <row r="62" spans="4:7" x14ac:dyDescent="0.25">
      <c r="D62" t="s">
        <v>264</v>
      </c>
      <c r="E62" t="s">
        <v>37</v>
      </c>
      <c r="F62" t="s">
        <v>260</v>
      </c>
      <c r="G62" t="s">
        <v>211</v>
      </c>
    </row>
    <row r="63" spans="4:7" x14ac:dyDescent="0.25">
      <c r="D63" t="s">
        <v>267</v>
      </c>
      <c r="E63" t="s">
        <v>268</v>
      </c>
      <c r="F63" t="s">
        <v>218</v>
      </c>
      <c r="G63" t="s">
        <v>269</v>
      </c>
    </row>
    <row r="64" spans="4:7" x14ac:dyDescent="0.25">
      <c r="D64" t="s">
        <v>283</v>
      </c>
      <c r="E64" t="s">
        <v>284</v>
      </c>
      <c r="F64" t="s">
        <v>260</v>
      </c>
      <c r="G64" t="s">
        <v>211</v>
      </c>
    </row>
    <row r="65" spans="4:7" x14ac:dyDescent="0.25">
      <c r="D65" t="s">
        <v>270</v>
      </c>
      <c r="E65" t="s">
        <v>36</v>
      </c>
      <c r="F65" t="s">
        <v>218</v>
      </c>
      <c r="G65" t="s">
        <v>269</v>
      </c>
    </row>
    <row r="66" spans="4:7" x14ac:dyDescent="0.25">
      <c r="D66" t="s">
        <v>271</v>
      </c>
      <c r="E66" t="s">
        <v>43</v>
      </c>
      <c r="F66" t="s">
        <v>218</v>
      </c>
      <c r="G66" t="s">
        <v>272</v>
      </c>
    </row>
    <row r="67" spans="4:7" x14ac:dyDescent="0.25">
      <c r="D67" t="s">
        <v>273</v>
      </c>
      <c r="E67" t="s">
        <v>38</v>
      </c>
      <c r="F67" t="s">
        <v>218</v>
      </c>
      <c r="G67" t="s">
        <v>269</v>
      </c>
    </row>
    <row r="68" spans="4:7" x14ac:dyDescent="0.25">
      <c r="D68" t="s">
        <v>274</v>
      </c>
      <c r="E68" t="s">
        <v>40</v>
      </c>
      <c r="F68" t="s">
        <v>218</v>
      </c>
      <c r="G68" t="s">
        <v>269</v>
      </c>
    </row>
    <row r="69" spans="4:7" x14ac:dyDescent="0.25">
      <c r="D69" t="s">
        <v>275</v>
      </c>
      <c r="E69" t="s">
        <v>42</v>
      </c>
      <c r="F69" t="s">
        <v>218</v>
      </c>
      <c r="G69" t="s">
        <v>269</v>
      </c>
    </row>
    <row r="70" spans="4:7" x14ac:dyDescent="0.25">
      <c r="D70" t="s">
        <v>276</v>
      </c>
      <c r="E70" t="s">
        <v>34</v>
      </c>
      <c r="F70" t="s">
        <v>218</v>
      </c>
      <c r="G70" t="s">
        <v>269</v>
      </c>
    </row>
    <row r="71" spans="4:7" x14ac:dyDescent="0.25">
      <c r="D71" t="s">
        <v>277</v>
      </c>
      <c r="E71" t="s">
        <v>278</v>
      </c>
      <c r="F71" t="s">
        <v>218</v>
      </c>
      <c r="G71" t="s">
        <v>269</v>
      </c>
    </row>
    <row r="72" spans="4:7" x14ac:dyDescent="0.25">
      <c r="D72" t="s">
        <v>281</v>
      </c>
      <c r="E72" t="s">
        <v>282</v>
      </c>
      <c r="F72" t="s">
        <v>218</v>
      </c>
      <c r="G72" t="s">
        <v>269</v>
      </c>
    </row>
    <row r="73" spans="4:7" x14ac:dyDescent="0.25">
      <c r="D73" t="s">
        <v>279</v>
      </c>
      <c r="E73" t="s">
        <v>280</v>
      </c>
      <c r="F73" t="s">
        <v>260</v>
      </c>
      <c r="G73" t="s">
        <v>211</v>
      </c>
    </row>
  </sheetData>
  <sheetProtection sheet="1" formatCells="0" sort="0" autoFilter="0" algorithmName="SHA-512" hashValue="ZBzZzfSzD28QzcRi/xk+171B1seyeVtjl84vWhAkAQBg4KEzQeHjauQNkOYAhrZT/U0gJQTWxXJMl6e8UgtrMA==" saltValue="nq0Mg82mjDLb6pO4/tN+EA==" spinCount="100000" objects="1" scenario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Validation</vt:lpstr>
      <vt:lpstr>performance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2026-10-02T11:07:27Z</dcterms:created>
  <dcterms:modified xsi:type="dcterms:W3CDTF">2026-10-02T11:07:27Z</dcterms:modified>
</cp:coreProperties>
</file>